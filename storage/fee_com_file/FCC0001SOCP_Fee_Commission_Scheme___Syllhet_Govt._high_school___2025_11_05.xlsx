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nagadbd-my.sharepoint.com/personal/siam_ahmed_nagad_com_bd/Documents/All Files Backup/Commercial/Commercial - 2025/Pricing/Fee Comm/In Progress/"/>
    </mc:Choice>
  </mc:AlternateContent>
  <xr:revisionPtr revIDLastSave="479" documentId="11_3770C3484C3F3324630016C376FE262E1D2C16ED" xr6:coauthVersionLast="47" xr6:coauthVersionMax="47" xr10:uidLastSave="{0F75247A-7259-49AF-ADE6-7F813BF845FB}"/>
  <bookViews>
    <workbookView xWindow="-110" yWindow="-110" windowWidth="19420" windowHeight="10300" xr2:uid="{00000000-000D-0000-FFFF-FFFF00000000}"/>
  </bookViews>
  <sheets>
    <sheet name="Fee-Commission" sheetId="1" r:id="rId1"/>
    <sheet name="Final - Uddokta Initiated" sheetId="2" state="hidden" r:id="rId2"/>
    <sheet name="Final - Customer Initiated"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3" l="1"/>
  <c r="U8" i="3"/>
  <c r="D10" i="3"/>
  <c r="D8" i="3"/>
  <c r="AU9" i="1" l="1"/>
  <c r="AY10" i="1"/>
  <c r="S10" i="1" s="1"/>
  <c r="AY6" i="1"/>
  <c r="S6" i="1" s="1"/>
  <c r="BI10" i="1" l="1"/>
  <c r="BI8" i="1"/>
  <c r="BI4" i="1"/>
  <c r="O3" i="2"/>
  <c r="O5" i="2" s="1"/>
  <c r="O3" i="3"/>
  <c r="O5" i="3" s="1"/>
  <c r="O15" i="3" s="1"/>
  <c r="R15" i="3" s="1"/>
  <c r="H42" i="3"/>
  <c r="H43" i="3" s="1"/>
  <c r="J43" i="3" s="1"/>
  <c r="G42" i="3"/>
  <c r="G43" i="3" s="1"/>
  <c r="G38" i="3"/>
  <c r="G37" i="3"/>
  <c r="G34" i="3"/>
  <c r="V24" i="3"/>
  <c r="H21" i="3"/>
  <c r="N14" i="3"/>
  <c r="N16" i="3" s="1"/>
  <c r="F14" i="3"/>
  <c r="F16" i="3" s="1"/>
  <c r="G5" i="3"/>
  <c r="G8" i="3" s="1"/>
  <c r="H42" i="2"/>
  <c r="H43" i="2" s="1"/>
  <c r="J43" i="2" s="1"/>
  <c r="G42" i="2"/>
  <c r="G43" i="2" s="1"/>
  <c r="G38" i="2"/>
  <c r="G37" i="2"/>
  <c r="G34" i="2"/>
  <c r="V24" i="2"/>
  <c r="H21" i="2"/>
  <c r="N14" i="2"/>
  <c r="N16" i="2" s="1"/>
  <c r="F14" i="2"/>
  <c r="F16" i="2" s="1"/>
  <c r="G5" i="2"/>
  <c r="G9" i="2" l="1"/>
  <c r="I9" i="2" s="1"/>
  <c r="J9" i="2" s="1"/>
  <c r="D11" i="2"/>
  <c r="D9" i="2"/>
  <c r="O15" i="2"/>
  <c r="R15" i="2" s="1"/>
  <c r="U11" i="2"/>
  <c r="U9" i="2"/>
  <c r="J44" i="2"/>
  <c r="I42" i="2"/>
  <c r="J42" i="2"/>
  <c r="G11" i="3"/>
  <c r="I11" i="3" s="1"/>
  <c r="J11" i="3" s="1"/>
  <c r="K11" i="3" s="1"/>
  <c r="G12" i="3"/>
  <c r="J12" i="3" s="1"/>
  <c r="K12" i="3" s="1"/>
  <c r="G4" i="3"/>
  <c r="O9" i="3"/>
  <c r="Q9" i="3" s="1"/>
  <c r="R9" i="3" s="1"/>
  <c r="S9" i="3" s="1"/>
  <c r="O10" i="3"/>
  <c r="Q10" i="3" s="1"/>
  <c r="R10" i="3" s="1"/>
  <c r="G13" i="3"/>
  <c r="J13" i="3" s="1"/>
  <c r="K13" i="3" s="1"/>
  <c r="G9" i="3"/>
  <c r="I9" i="3" s="1"/>
  <c r="J9" i="3" s="1"/>
  <c r="O8" i="2"/>
  <c r="Q8" i="2" s="1"/>
  <c r="R8" i="2" s="1"/>
  <c r="O9" i="2"/>
  <c r="Q9" i="2" s="1"/>
  <c r="R9" i="2" s="1"/>
  <c r="O11" i="2"/>
  <c r="Q11" i="2" s="1"/>
  <c r="O12" i="2"/>
  <c r="R12" i="2" s="1"/>
  <c r="T12" i="2" s="1"/>
  <c r="O13" i="2"/>
  <c r="R13" i="2" s="1"/>
  <c r="S13" i="2" s="1"/>
  <c r="O4" i="2"/>
  <c r="O14" i="2"/>
  <c r="R14" i="2" s="1"/>
  <c r="S14" i="2" s="1"/>
  <c r="G12" i="2"/>
  <c r="J12" i="2" s="1"/>
  <c r="L12" i="2" s="1"/>
  <c r="G4" i="2"/>
  <c r="G10" i="2"/>
  <c r="I10" i="2" s="1"/>
  <c r="G15" i="2"/>
  <c r="J15" i="2" s="1"/>
  <c r="K15" i="2" s="1"/>
  <c r="G11" i="2"/>
  <c r="I11" i="2" s="1"/>
  <c r="G14" i="2"/>
  <c r="J14" i="2" s="1"/>
  <c r="L14" i="2" s="1"/>
  <c r="G8" i="2"/>
  <c r="I8" i="2" s="1"/>
  <c r="G13" i="2"/>
  <c r="J13" i="2" s="1"/>
  <c r="L13" i="2" s="1"/>
  <c r="I8" i="3"/>
  <c r="J8" i="3" s="1"/>
  <c r="S15" i="3"/>
  <c r="T15" i="3"/>
  <c r="W15" i="3" s="1"/>
  <c r="I42" i="3"/>
  <c r="O4" i="3"/>
  <c r="O8" i="3"/>
  <c r="G14" i="3"/>
  <c r="J14" i="3" s="1"/>
  <c r="G10" i="3"/>
  <c r="G15" i="3"/>
  <c r="J15" i="3" s="1"/>
  <c r="J42" i="3"/>
  <c r="J44" i="3" s="1"/>
  <c r="O11" i="3"/>
  <c r="O12" i="3"/>
  <c r="R12" i="3" s="1"/>
  <c r="O13" i="3"/>
  <c r="R13" i="3" s="1"/>
  <c r="O14" i="3"/>
  <c r="R14" i="3" s="1"/>
  <c r="S15" i="2"/>
  <c r="T15" i="2"/>
  <c r="W15" i="2" s="1"/>
  <c r="O10" i="2"/>
  <c r="T9" i="3" l="1"/>
  <c r="L12" i="3"/>
  <c r="L13" i="3"/>
  <c r="K13" i="2"/>
  <c r="S12" i="2"/>
  <c r="K12" i="2"/>
  <c r="L11" i="3"/>
  <c r="T13" i="2"/>
  <c r="K14" i="2"/>
  <c r="J10" i="2"/>
  <c r="L10" i="2" s="1"/>
  <c r="T14" i="2"/>
  <c r="S24" i="2"/>
  <c r="L15" i="2"/>
  <c r="V15" i="2" s="1"/>
  <c r="J11" i="2"/>
  <c r="L11" i="2" s="1"/>
  <c r="G16" i="2"/>
  <c r="O16" i="2"/>
  <c r="R11" i="2"/>
  <c r="T11" i="2" s="1"/>
  <c r="J8" i="2"/>
  <c r="K8" i="2" s="1"/>
  <c r="L9" i="3"/>
  <c r="K9" i="3"/>
  <c r="K8" i="3"/>
  <c r="V8" i="3" s="1"/>
  <c r="L8" i="3"/>
  <c r="L15" i="3"/>
  <c r="K15" i="3"/>
  <c r="I10" i="3"/>
  <c r="J10" i="3" s="1"/>
  <c r="L14" i="3"/>
  <c r="K14" i="3"/>
  <c r="K24" i="3" s="1"/>
  <c r="S13" i="3"/>
  <c r="T13" i="3"/>
  <c r="Q8" i="3"/>
  <c r="R8" i="3" s="1"/>
  <c r="G16" i="3"/>
  <c r="T10" i="3"/>
  <c r="S10" i="3"/>
  <c r="W10" i="3" s="1"/>
  <c r="T14" i="3"/>
  <c r="S14" i="3"/>
  <c r="S12" i="3"/>
  <c r="T12" i="3"/>
  <c r="Q11" i="3"/>
  <c r="R11" i="3" s="1"/>
  <c r="T8" i="2"/>
  <c r="S8" i="2"/>
  <c r="L9" i="2"/>
  <c r="K9" i="2"/>
  <c r="V9" i="2" s="1"/>
  <c r="Q10" i="2"/>
  <c r="R10" i="2" s="1"/>
  <c r="S18" i="2"/>
  <c r="S9" i="2"/>
  <c r="W9" i="2" s="1"/>
  <c r="T9" i="2"/>
  <c r="L8" i="2" l="1"/>
  <c r="K10" i="2"/>
  <c r="K24" i="2"/>
  <c r="K26" i="2" s="1"/>
  <c r="S18" i="3"/>
  <c r="S24" i="3"/>
  <c r="K26" i="3" s="1"/>
  <c r="S11" i="2"/>
  <c r="W11" i="2" s="1"/>
  <c r="J16" i="2"/>
  <c r="K11" i="2"/>
  <c r="V11" i="2" s="1"/>
  <c r="S11" i="3"/>
  <c r="T11" i="3"/>
  <c r="L10" i="3"/>
  <c r="K10" i="3"/>
  <c r="V10" i="3" s="1"/>
  <c r="T8" i="3"/>
  <c r="S8" i="3"/>
  <c r="W8" i="3" s="1"/>
  <c r="N26" i="3"/>
  <c r="O26" i="3" s="1"/>
  <c r="V15" i="3"/>
  <c r="S10" i="2"/>
  <c r="T10" i="2"/>
  <c r="R16" i="2"/>
  <c r="G30" i="3" l="1"/>
  <c r="G31" i="3" s="1"/>
  <c r="K16" i="2"/>
  <c r="G30" i="2"/>
  <c r="G32" i="2" s="1"/>
  <c r="S16" i="2"/>
  <c r="G32" i="3" l="1"/>
  <c r="G35" i="3" s="1"/>
  <c r="G31" i="2"/>
  <c r="G35" i="2"/>
  <c r="G33" i="2"/>
  <c r="G33" i="3" l="1"/>
  <c r="BM4" i="1"/>
  <c r="V6" i="1" l="1"/>
  <c r="V4" i="1"/>
  <c r="E7" i="1"/>
  <c r="E5" i="1"/>
  <c r="I5" i="1" s="1"/>
  <c r="V5" i="1" l="1"/>
  <c r="BC7" i="1"/>
  <c r="BI5" i="1"/>
  <c r="BC5" i="1"/>
  <c r="I7" i="1"/>
  <c r="V7" i="1"/>
  <c r="T5" i="1"/>
  <c r="T7" i="1"/>
  <c r="AG5" i="1" l="1"/>
  <c r="BA5" i="1"/>
  <c r="AE5" i="1"/>
  <c r="W5" i="1"/>
  <c r="AU5" i="1"/>
  <c r="AG7" i="1"/>
  <c r="AE7" i="1"/>
  <c r="W7" i="1"/>
  <c r="BA7" i="1"/>
  <c r="Y7" i="1" l="1"/>
  <c r="Y5" i="1"/>
  <c r="BM5" i="1"/>
  <c r="BN5" i="1" s="1"/>
  <c r="BM10" i="1" l="1"/>
  <c r="BM8" i="1"/>
  <c r="V10" i="1"/>
  <c r="V8" i="1"/>
  <c r="E11" i="1"/>
  <c r="G11" i="1" s="1"/>
  <c r="E9" i="1"/>
  <c r="G9" i="1" s="1"/>
  <c r="BA11" i="1" l="1"/>
  <c r="BC11" i="1"/>
  <c r="BI9" i="1"/>
  <c r="V9" i="1"/>
  <c r="T11" i="1"/>
  <c r="V11" i="1"/>
  <c r="T9" i="1"/>
  <c r="BA9" i="1"/>
  <c r="AU11" i="1"/>
  <c r="BC9" i="1"/>
  <c r="BI11" i="1"/>
  <c r="BM9" i="1" l="1"/>
  <c r="BN9" i="1" s="1"/>
  <c r="BM11" i="1"/>
  <c r="BN11" i="1" s="1"/>
  <c r="BI6" i="1" l="1"/>
  <c r="BI7" i="1" s="1"/>
  <c r="BM7" i="1" s="1"/>
  <c r="BN7" i="1" s="1"/>
  <c r="AU7" i="1"/>
  <c r="BM6" i="1" l="1"/>
</calcChain>
</file>

<file path=xl/sharedStrings.xml><?xml version="1.0" encoding="utf-8"?>
<sst xmlns="http://schemas.openxmlformats.org/spreadsheetml/2006/main" count="203" uniqueCount="85">
  <si>
    <t>Master Distributor</t>
  </si>
  <si>
    <t>MNO</t>
  </si>
  <si>
    <t>Settlement
Policy</t>
  </si>
  <si>
    <t>Player →</t>
  </si>
  <si>
    <t>Event ↓</t>
  </si>
  <si>
    <t>Access Channel</t>
  </si>
  <si>
    <t>APP</t>
  </si>
  <si>
    <t>USSD</t>
  </si>
  <si>
    <t>BANK</t>
  </si>
  <si>
    <t>Charge</t>
  </si>
  <si>
    <t>Settelment Charge</t>
  </si>
  <si>
    <t>Monthly</t>
  </si>
  <si>
    <t>VAT</t>
  </si>
  <si>
    <t>Fixed</t>
  </si>
  <si>
    <t>Service Fee</t>
  </si>
  <si>
    <t>Settlement Policy</t>
  </si>
  <si>
    <t>Percentage Inclusive of Service Rate</t>
  </si>
  <si>
    <t>AIT on DH Commission</t>
  </si>
  <si>
    <t>AIT on Agent Commission</t>
  </si>
  <si>
    <t>AIT Settlement
Policy</t>
  </si>
  <si>
    <t>AIT on MD Commission (Exempted)</t>
  </si>
  <si>
    <t>AIT on BPO Commission</t>
  </si>
  <si>
    <t>Commission on Service Fee after VAT</t>
  </si>
  <si>
    <t>To SUSPENSE Account on Service Fee after VAT</t>
  </si>
  <si>
    <t>BPO / PP</t>
  </si>
  <si>
    <t>TWTL / SP</t>
  </si>
  <si>
    <t>Sender Agent</t>
  </si>
  <si>
    <t>Parent Distributor of Sender Agent</t>
  </si>
  <si>
    <t>Receiving Agent</t>
  </si>
  <si>
    <t>Commission Settlement Policy</t>
  </si>
  <si>
    <t>Commission Settlement
Policy</t>
  </si>
  <si>
    <t>Adjustment of Advance Commission</t>
  </si>
  <si>
    <t>Inclusive VAT on Collected Service Fee</t>
  </si>
  <si>
    <t xml:space="preserve">Commission on Service Fee after VAT. AIT on Commission.       Commission on Service Fee after VAT. AIT on Commission.       Commission on Service Fee after VAT. AIT on Commission.       Commission on Service Fee after VAT. AIT on Commission.       </t>
  </si>
  <si>
    <t>Commission (USSD Charge)</t>
  </si>
  <si>
    <t>Parent Distributor of Receiving Agent</t>
  </si>
  <si>
    <t>Daily</t>
  </si>
  <si>
    <t>Example</t>
  </si>
  <si>
    <t>Sending Customer Pays</t>
  </si>
  <si>
    <t>Sending Agent Pays</t>
  </si>
  <si>
    <t>Sending Merchant Pays</t>
  </si>
  <si>
    <t>Receiving Merchant Pays</t>
  </si>
  <si>
    <t>Nagad Pays
(Advance Commission)</t>
  </si>
  <si>
    <t>%</t>
  </si>
  <si>
    <t>MNO Charge
Fixed</t>
  </si>
  <si>
    <t>Fee Collection at Transaction Time</t>
  </si>
  <si>
    <t>Sending Distributor Pays</t>
  </si>
  <si>
    <t>Service Fee after VAT</t>
  </si>
  <si>
    <t>Receiving Merchant</t>
  </si>
  <si>
    <t xml:space="preserve">AIT on Merchant Commission </t>
  </si>
  <si>
    <t>Receiving Customer</t>
  </si>
  <si>
    <t>Real Time</t>
  </si>
  <si>
    <t>CO Chrg</t>
  </si>
  <si>
    <t>Trx Amt (BDT)</t>
  </si>
  <si>
    <t>% of Net CO Chrg</t>
  </si>
  <si>
    <t>% of Amount</t>
  </si>
  <si>
    <t>AIT %</t>
  </si>
  <si>
    <t>AIT
(% of Amount)</t>
  </si>
  <si>
    <t>% of Amount (After AIT)</t>
  </si>
  <si>
    <t>Uddokta CI</t>
  </si>
  <si>
    <t>Uddokta CO</t>
  </si>
  <si>
    <t>Distributor CI</t>
  </si>
  <si>
    <t>Distributor CO</t>
  </si>
  <si>
    <t>BPO</t>
  </si>
  <si>
    <t>TWTL</t>
  </si>
  <si>
    <t>MD</t>
  </si>
  <si>
    <t>app cash in</t>
  </si>
  <si>
    <t>MD + TWTL</t>
  </si>
  <si>
    <t>MD+ TWTL Margin 
(Average APP &amp; USSD)</t>
  </si>
  <si>
    <t>Cash back Management</t>
  </si>
  <si>
    <t xml:space="preserve">Channel commission </t>
  </si>
  <si>
    <t>Channel commission %</t>
  </si>
  <si>
    <t>Max cash back</t>
  </si>
  <si>
    <t>Max Cash back %</t>
  </si>
  <si>
    <t>Provision for Uddokta commission</t>
  </si>
  <si>
    <t>Max allowed cash back to customer</t>
  </si>
  <si>
    <t>Risk free Customer cash back(first cash out)</t>
  </si>
  <si>
    <t>% cash back in APP</t>
  </si>
  <si>
    <t>% Cash back in USSD</t>
  </si>
  <si>
    <t>Recommended cash back</t>
  </si>
  <si>
    <t>Cash out charge</t>
  </si>
  <si>
    <t>cashback</t>
  </si>
  <si>
    <t xml:space="preserve">Effective cash out </t>
  </si>
  <si>
    <r>
      <t xml:space="preserve">Syllhet Govt. high school
</t>
    </r>
    <r>
      <rPr>
        <i/>
        <sz val="12"/>
        <color theme="4" tint="-0.249977111117893"/>
        <rFont val="Calibri"/>
        <family val="2"/>
        <scheme val="minor"/>
      </rPr>
      <t>(Uddokta Initiated)</t>
    </r>
  </si>
  <si>
    <r>
      <t xml:space="preserve">Syllhet Govt. high school
</t>
    </r>
    <r>
      <rPr>
        <i/>
        <sz val="12"/>
        <color theme="4" tint="-0.249977111117893"/>
        <rFont val="Calibri"/>
        <family val="2"/>
        <scheme val="minor"/>
      </rPr>
      <t>(Customer Initiated)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</si>
</sst>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000"/>
    <numFmt numFmtId="165" formatCode="0.000000"/>
    <numFmt numFmtId="166" formatCode="0.0000%"/>
    <numFmt numFmtId="167" formatCode="0.000"/>
    <numFmt numFmtId="168" formatCode="0.00000000000000000%"/>
    <numFmt numFmtId="169" formatCode="0.000000%"/>
    <numFmt numFmtId="170" formatCode="_(* #,##0.0000_);_(* \(#,##0.0000\);_(* &quot;-&quot;??_);_(@_)"/>
    <numFmt numFmtId="171" formatCode="0.000%"/>
    <numFmt numFmtId="172" formatCode="0.000000000000000000%"/>
    <numFmt numFmtId="173" formatCode="_(* #,##0_);_(* \(#,##0\);_(* &quot;-&quot;??_);_(@_)"/>
    <numFmt numFmtId="174" formatCode="0.0%"/>
    <numFmt numFmtId="175" formatCode="0.0000000000000000%"/>
    <numFmt numFmtId="176" formatCode="0.00000000%"/>
    <numFmt numFmtId="177" formatCode="_(* #,##0.0_);_(* \(#,##0.0\);_(* &quot;-&quot;??_);_(@_)"/>
  </numFmts>
  <fonts count="32"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b/>
      <sz val="11"/>
      <color theme="0"/>
      <name val="Calibri"/>
      <family val="2"/>
      <scheme val="minor"/>
    </font>
    <font>
      <b/>
      <sz val="11"/>
      <color theme="1"/>
      <name val="Calibri"/>
      <family val="2"/>
      <scheme val="minor"/>
    </font>
    <font>
      <b/>
      <sz val="13"/>
      <name val="Calibri"/>
      <family val="2"/>
      <scheme val="minor"/>
    </font>
    <font>
      <b/>
      <sz val="12"/>
      <color theme="0"/>
      <name val="Calibri"/>
      <family val="2"/>
      <scheme val="minor"/>
    </font>
    <font>
      <sz val="11"/>
      <name val="Calibri"/>
      <family val="2"/>
      <scheme val="minor"/>
    </font>
    <font>
      <b/>
      <sz val="11"/>
      <color rgb="FF002060"/>
      <name val="Calibri"/>
      <family val="2"/>
      <scheme val="minor"/>
    </font>
    <font>
      <sz val="11"/>
      <color theme="0" tint="-0.499984740745262"/>
      <name val="Calibri"/>
      <family val="2"/>
      <scheme val="minor"/>
    </font>
    <font>
      <b/>
      <sz val="13"/>
      <color theme="0" tint="-0.499984740745262"/>
      <name val="Calibri"/>
      <family val="2"/>
      <scheme val="minor"/>
    </font>
    <font>
      <i/>
      <sz val="11"/>
      <color theme="0" tint="-0.499984740745262"/>
      <name val="Calibri"/>
      <family val="2"/>
      <scheme val="minor"/>
    </font>
    <font>
      <b/>
      <sz val="11"/>
      <color theme="0" tint="-0.499984740745262"/>
      <name val="Calibri"/>
      <family val="2"/>
      <scheme val="minor"/>
    </font>
    <font>
      <b/>
      <sz val="12"/>
      <name val="Calibri"/>
      <family val="2"/>
      <scheme val="minor"/>
    </font>
    <font>
      <i/>
      <sz val="12"/>
      <color theme="4" tint="-0.249977111117893"/>
      <name val="Calibri"/>
      <family val="2"/>
      <scheme val="minor"/>
    </font>
    <font>
      <b/>
      <sz val="11"/>
      <color theme="0" tint="-0.249977111117893"/>
      <name val="Calibri"/>
      <family val="2"/>
      <scheme val="minor"/>
    </font>
    <font>
      <sz val="11"/>
      <color theme="0" tint="-0.249977111117893"/>
      <name val="Calibri"/>
      <family val="2"/>
      <scheme val="minor"/>
    </font>
    <font>
      <i/>
      <sz val="11"/>
      <color theme="0" tint="-0.249977111117893"/>
      <name val="Calibri"/>
      <family val="2"/>
      <scheme val="minor"/>
    </font>
    <font>
      <b/>
      <sz val="12"/>
      <color theme="0" tint="-0.34998626667073579"/>
      <name val="Calibri"/>
      <family val="2"/>
      <scheme val="minor"/>
    </font>
    <font>
      <sz val="9"/>
      <color theme="1"/>
      <name val="Century Gothic"/>
      <family val="2"/>
    </font>
    <font>
      <sz val="9"/>
      <color theme="1"/>
      <name val="Calibri"/>
      <family val="2"/>
    </font>
    <font>
      <b/>
      <sz val="9"/>
      <color theme="0"/>
      <name val="Calibri"/>
      <family val="2"/>
    </font>
    <font>
      <b/>
      <sz val="9"/>
      <color theme="5" tint="-0.249977111117893"/>
      <name val="Calibri"/>
      <family val="2"/>
    </font>
    <font>
      <sz val="9"/>
      <name val="Calibri"/>
      <family val="2"/>
    </font>
    <font>
      <b/>
      <sz val="9"/>
      <name val="Calibri"/>
      <family val="2"/>
    </font>
    <font>
      <b/>
      <sz val="9"/>
      <color theme="1"/>
      <name val="Century Gothic"/>
      <family val="2"/>
    </font>
    <font>
      <sz val="9"/>
      <color theme="5" tint="-0.249977111117893"/>
      <name val="Century Gothic"/>
      <family val="2"/>
    </font>
    <font>
      <b/>
      <sz val="9"/>
      <name val="Century Gothic"/>
      <family val="2"/>
    </font>
    <font>
      <b/>
      <sz val="9"/>
      <color theme="1"/>
      <name val="Calibri"/>
      <family val="2"/>
    </font>
    <font>
      <sz val="12"/>
      <color theme="1"/>
      <name val="Calibri"/>
      <family val="2"/>
    </font>
    <font>
      <sz val="9"/>
      <color theme="0"/>
      <name val="Century Gothic"/>
      <family val="2"/>
    </font>
  </fonts>
  <fills count="25">
    <fill>
      <patternFill patternType="none"/>
    </fill>
    <fill>
      <patternFill patternType="gray125"/>
    </fill>
    <fill>
      <patternFill patternType="solid">
        <fgColor rgb="FFC6EFCE"/>
      </patternFill>
    </fill>
    <fill>
      <patternFill patternType="solid">
        <fgColor rgb="FFA5A5A5"/>
      </patternFill>
    </fill>
    <fill>
      <patternFill patternType="solid">
        <fgColor rgb="FFFFFFCC"/>
      </patternFill>
    </fill>
    <fill>
      <patternFill patternType="solid">
        <fgColor theme="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7"/>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7"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rgb="FFC00000"/>
        <bgColor indexed="64"/>
      </patternFill>
    </fill>
    <fill>
      <patternFill patternType="solid">
        <fgColor rgb="FF92D050"/>
        <bgColor indexed="64"/>
      </patternFill>
    </fill>
    <fill>
      <patternFill patternType="solid">
        <fgColor rgb="FF7030A0"/>
        <bgColor indexed="64"/>
      </patternFill>
    </fill>
  </fills>
  <borders count="40">
    <border>
      <left/>
      <right/>
      <top/>
      <bottom/>
      <diagonal/>
    </border>
    <border>
      <left/>
      <right/>
      <top/>
      <bottom style="thick">
        <color theme="4" tint="0.499984740745262"/>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2" applyNumberFormat="0" applyAlignment="0" applyProtection="0"/>
    <xf numFmtId="0" fontId="1" fillId="4" borderId="3" applyNumberFormat="0" applyFont="0" applyAlignment="0" applyProtection="0"/>
    <xf numFmtId="43" fontId="1" fillId="0" borderId="0" applyFont="0" applyFill="0" applyBorder="0" applyAlignment="0" applyProtection="0"/>
    <xf numFmtId="9" fontId="1" fillId="0" borderId="0" applyFont="0" applyFill="0" applyBorder="0" applyAlignment="0" applyProtection="0"/>
  </cellStyleXfs>
  <cellXfs count="197">
    <xf numFmtId="0" fontId="0" fillId="0" borderId="0" xfId="0"/>
    <xf numFmtId="0" fontId="1" fillId="6" borderId="4" xfId="0" applyFont="1" applyFill="1" applyBorder="1" applyAlignment="1">
      <alignment horizontal="center" vertical="center"/>
    </xf>
    <xf numFmtId="2" fontId="0" fillId="0" borderId="0" xfId="6" applyNumberFormat="1" applyFont="1"/>
    <xf numFmtId="0" fontId="9" fillId="0" borderId="0" xfId="0" applyFont="1"/>
    <xf numFmtId="0" fontId="10" fillId="0" borderId="0" xfId="0" applyFont="1"/>
    <xf numFmtId="0" fontId="6" fillId="8" borderId="5" xfId="1" applyFont="1" applyFill="1" applyBorder="1" applyAlignment="1">
      <alignment horizontal="center" vertical="center" wrapText="1"/>
    </xf>
    <xf numFmtId="0" fontId="11" fillId="11" borderId="13" xfId="1" applyFont="1" applyFill="1" applyBorder="1" applyAlignment="1">
      <alignment horizontal="center" vertical="center" wrapText="1"/>
    </xf>
    <xf numFmtId="0" fontId="0" fillId="15" borderId="0" xfId="0" applyFill="1"/>
    <xf numFmtId="0" fontId="13" fillId="4" borderId="4" xfId="4" applyFont="1" applyBorder="1" applyAlignment="1">
      <alignment horizontal="center" vertical="center"/>
    </xf>
    <xf numFmtId="0" fontId="7" fillId="3" borderId="7" xfId="3" applyFont="1" applyBorder="1" applyAlignment="1">
      <alignment horizontal="center" vertical="center"/>
    </xf>
    <xf numFmtId="0" fontId="7" fillId="3" borderId="8" xfId="3" applyFont="1" applyBorder="1" applyAlignment="1">
      <alignment horizontal="center" vertical="center" wrapText="1"/>
    </xf>
    <xf numFmtId="0" fontId="8" fillId="10" borderId="8" xfId="2" applyFont="1" applyFill="1" applyBorder="1" applyAlignment="1">
      <alignment horizontal="center" vertical="center" wrapText="1"/>
    </xf>
    <xf numFmtId="0" fontId="8" fillId="10" borderId="8" xfId="2" applyFont="1" applyFill="1" applyBorder="1" applyAlignment="1">
      <alignment horizontal="center" vertical="center"/>
    </xf>
    <xf numFmtId="0" fontId="8" fillId="10" borderId="20" xfId="2" applyFont="1" applyFill="1" applyBorder="1" applyAlignment="1">
      <alignment horizontal="center" vertical="center"/>
    </xf>
    <xf numFmtId="2" fontId="8" fillId="10" borderId="20" xfId="6" applyNumberFormat="1" applyFont="1" applyFill="1" applyBorder="1" applyAlignment="1">
      <alignment horizontal="center" vertical="center" wrapText="1"/>
    </xf>
    <xf numFmtId="2" fontId="8" fillId="10" borderId="8" xfId="6" applyNumberFormat="1" applyFont="1" applyFill="1" applyBorder="1" applyAlignment="1">
      <alignment horizontal="center" vertical="center" wrapText="1"/>
    </xf>
    <xf numFmtId="0" fontId="3" fillId="2" borderId="8" xfId="2" applyBorder="1" applyAlignment="1">
      <alignment horizontal="center" vertical="center" wrapText="1"/>
    </xf>
    <xf numFmtId="0" fontId="10" fillId="7" borderId="8" xfId="2" applyFont="1" applyFill="1" applyBorder="1" applyAlignment="1">
      <alignment horizontal="center" vertical="center" wrapText="1"/>
    </xf>
    <xf numFmtId="2" fontId="3" fillId="2" borderId="8" xfId="6" applyNumberFormat="1" applyFont="1" applyFill="1" applyBorder="1" applyAlignment="1">
      <alignment horizontal="center" vertical="center" wrapText="1"/>
    </xf>
    <xf numFmtId="0" fontId="3" fillId="2" borderId="8" xfId="2" applyBorder="1" applyAlignment="1">
      <alignment horizontal="center" vertical="center"/>
    </xf>
    <xf numFmtId="0" fontId="3" fillId="2" borderId="9" xfId="2" applyBorder="1" applyAlignment="1">
      <alignment horizontal="center" vertical="center" wrapText="1"/>
    </xf>
    <xf numFmtId="10" fontId="1" fillId="6" borderId="4" xfId="6" applyNumberFormat="1" applyFont="1" applyFill="1" applyBorder="1" applyAlignment="1">
      <alignment horizontal="center" vertical="center"/>
    </xf>
    <xf numFmtId="2" fontId="5" fillId="6" borderId="4" xfId="6" applyNumberFormat="1" applyFont="1" applyFill="1" applyBorder="1" applyAlignment="1">
      <alignment horizontal="center" vertical="center"/>
    </xf>
    <xf numFmtId="2" fontId="1" fillId="6" borderId="4" xfId="0" applyNumberFormat="1" applyFont="1" applyFill="1" applyBorder="1" applyAlignment="1">
      <alignment horizontal="center" vertical="center"/>
    </xf>
    <xf numFmtId="9" fontId="1" fillId="6" borderId="4" xfId="6" applyFont="1" applyFill="1" applyBorder="1" applyAlignment="1">
      <alignment horizontal="center" vertical="center"/>
    </xf>
    <xf numFmtId="9" fontId="1" fillId="6" borderId="4" xfId="0" applyNumberFormat="1" applyFont="1" applyFill="1" applyBorder="1" applyAlignment="1">
      <alignment horizontal="center" vertical="center"/>
    </xf>
    <xf numFmtId="165" fontId="1" fillId="6" borderId="4" xfId="6" applyNumberFormat="1" applyFont="1" applyFill="1" applyBorder="1" applyAlignment="1">
      <alignment horizontal="center" vertical="center"/>
    </xf>
    <xf numFmtId="10" fontId="1" fillId="6" borderId="4" xfId="0" applyNumberFormat="1" applyFont="1" applyFill="1" applyBorder="1" applyAlignment="1">
      <alignment horizontal="center" vertical="center"/>
    </xf>
    <xf numFmtId="0" fontId="12" fillId="6" borderId="4" xfId="0" applyFont="1" applyFill="1" applyBorder="1" applyAlignment="1">
      <alignment horizontal="center" vertical="center"/>
    </xf>
    <xf numFmtId="2" fontId="5" fillId="6" borderId="4" xfId="0" applyNumberFormat="1" applyFont="1" applyFill="1" applyBorder="1" applyAlignment="1">
      <alignment horizontal="center" vertical="center"/>
    </xf>
    <xf numFmtId="166" fontId="1" fillId="6" borderId="4" xfId="6" applyNumberFormat="1" applyFont="1" applyFill="1" applyBorder="1" applyAlignment="1">
      <alignment horizontal="center" vertical="center"/>
    </xf>
    <xf numFmtId="9" fontId="8" fillId="6" borderId="4" xfId="6" applyFont="1" applyFill="1" applyBorder="1" applyAlignment="1">
      <alignment horizontal="center" vertical="center"/>
    </xf>
    <xf numFmtId="0" fontId="14" fillId="16" borderId="4" xfId="3" applyFont="1" applyFill="1" applyBorder="1" applyAlignment="1">
      <alignment horizontal="center" vertical="center" wrapText="1"/>
    </xf>
    <xf numFmtId="166" fontId="1" fillId="6" borderId="4" xfId="0" applyNumberFormat="1" applyFont="1" applyFill="1" applyBorder="1" applyAlignment="1">
      <alignment horizontal="center" vertical="center"/>
    </xf>
    <xf numFmtId="166" fontId="8" fillId="6" borderId="4" xfId="6" applyNumberFormat="1" applyFont="1" applyFill="1" applyBorder="1" applyAlignment="1">
      <alignment horizontal="center" vertical="center"/>
    </xf>
    <xf numFmtId="166" fontId="0" fillId="0" borderId="0" xfId="0" applyNumberFormat="1"/>
    <xf numFmtId="2" fontId="16" fillId="4" borderId="4" xfId="4" applyNumberFormat="1" applyFont="1" applyBorder="1" applyAlignment="1">
      <alignment horizontal="center" vertical="center"/>
    </xf>
    <xf numFmtId="167" fontId="17" fillId="10" borderId="4" xfId="6" applyNumberFormat="1" applyFont="1" applyFill="1" applyBorder="1" applyAlignment="1">
      <alignment horizontal="center" vertical="center"/>
    </xf>
    <xf numFmtId="2" fontId="16" fillId="10" borderId="4" xfId="6" applyNumberFormat="1" applyFont="1" applyFill="1" applyBorder="1" applyAlignment="1">
      <alignment horizontal="center" vertical="center"/>
    </xf>
    <xf numFmtId="2" fontId="17" fillId="10" borderId="4" xfId="0" applyNumberFormat="1" applyFont="1" applyFill="1" applyBorder="1" applyAlignment="1">
      <alignment horizontal="center" vertical="center"/>
    </xf>
    <xf numFmtId="2" fontId="17" fillId="10" borderId="4" xfId="6" applyNumberFormat="1" applyFont="1" applyFill="1" applyBorder="1" applyAlignment="1">
      <alignment horizontal="center" vertical="center"/>
    </xf>
    <xf numFmtId="167" fontId="17" fillId="10" borderId="4" xfId="0" applyNumberFormat="1" applyFont="1" applyFill="1" applyBorder="1" applyAlignment="1">
      <alignment horizontal="center" vertical="center"/>
    </xf>
    <xf numFmtId="164" fontId="17" fillId="10" borderId="4" xfId="0" applyNumberFormat="1" applyFont="1" applyFill="1" applyBorder="1" applyAlignment="1">
      <alignment horizontal="center" vertical="center"/>
    </xf>
    <xf numFmtId="2" fontId="18" fillId="10" borderId="4" xfId="0" applyNumberFormat="1" applyFont="1" applyFill="1" applyBorder="1" applyAlignment="1">
      <alignment horizontal="center" vertical="center"/>
    </xf>
    <xf numFmtId="0" fontId="18" fillId="10" borderId="4" xfId="0" applyFont="1" applyFill="1" applyBorder="1" applyAlignment="1">
      <alignment horizontal="center" vertical="center"/>
    </xf>
    <xf numFmtId="9" fontId="17" fillId="10" borderId="4" xfId="6" applyFont="1" applyFill="1" applyBorder="1" applyAlignment="1">
      <alignment horizontal="center" vertical="center"/>
    </xf>
    <xf numFmtId="0" fontId="17" fillId="10" borderId="4" xfId="0" applyFont="1" applyFill="1" applyBorder="1" applyAlignment="1">
      <alignment horizontal="center" vertical="center"/>
    </xf>
    <xf numFmtId="0" fontId="17" fillId="0" borderId="0" xfId="0" applyFont="1"/>
    <xf numFmtId="2" fontId="19" fillId="19" borderId="4" xfId="3" applyNumberFormat="1" applyFont="1" applyFill="1" applyBorder="1" applyAlignment="1">
      <alignment horizontal="center" vertical="center" wrapText="1"/>
    </xf>
    <xf numFmtId="167" fontId="18" fillId="10" borderId="4" xfId="0" applyNumberFormat="1" applyFont="1" applyFill="1" applyBorder="1" applyAlignment="1">
      <alignment horizontal="center" vertical="center"/>
    </xf>
    <xf numFmtId="167" fontId="17" fillId="0" borderId="0" xfId="0" applyNumberFormat="1" applyFont="1"/>
    <xf numFmtId="2" fontId="1" fillId="6" borderId="4" xfId="6" applyNumberFormat="1" applyFont="1" applyFill="1" applyBorder="1" applyAlignment="1">
      <alignment horizontal="center" vertical="center"/>
    </xf>
    <xf numFmtId="2" fontId="0" fillId="6" borderId="4" xfId="0" applyNumberFormat="1" applyFill="1" applyBorder="1" applyAlignment="1">
      <alignment horizontal="center" vertical="center"/>
    </xf>
    <xf numFmtId="166" fontId="0" fillId="6" borderId="4" xfId="6" applyNumberFormat="1" applyFont="1" applyFill="1" applyBorder="1" applyAlignment="1">
      <alignment horizontal="center" vertical="center"/>
    </xf>
    <xf numFmtId="164" fontId="1" fillId="6" borderId="4" xfId="0" applyNumberFormat="1" applyFont="1" applyFill="1" applyBorder="1" applyAlignment="1">
      <alignment horizontal="center" vertical="center"/>
    </xf>
    <xf numFmtId="170" fontId="1" fillId="13" borderId="4" xfId="5" applyNumberFormat="1" applyFont="1" applyFill="1" applyBorder="1" applyAlignment="1">
      <alignment horizontal="center" vertical="center"/>
    </xf>
    <xf numFmtId="164" fontId="1" fillId="13" borderId="4" xfId="6" applyNumberFormat="1" applyFont="1" applyFill="1" applyBorder="1" applyAlignment="1">
      <alignment horizontal="center" vertical="center"/>
    </xf>
    <xf numFmtId="164" fontId="0" fillId="0" borderId="0" xfId="0" applyNumberFormat="1"/>
    <xf numFmtId="0" fontId="20" fillId="0" borderId="0" xfId="0" applyFont="1" applyAlignment="1">
      <alignment vertical="center" wrapText="1"/>
    </xf>
    <xf numFmtId="0" fontId="21" fillId="0" borderId="0" xfId="0" applyFont="1" applyAlignment="1">
      <alignment vertical="center" wrapText="1"/>
    </xf>
    <xf numFmtId="0" fontId="22" fillId="20" borderId="23" xfId="0" applyFont="1" applyFill="1" applyBorder="1" applyAlignment="1">
      <alignment horizontal="center" vertical="center" wrapText="1"/>
    </xf>
    <xf numFmtId="0" fontId="21" fillId="0" borderId="25" xfId="0" applyFont="1" applyBorder="1" applyAlignment="1">
      <alignment vertical="center" wrapText="1"/>
    </xf>
    <xf numFmtId="0" fontId="21" fillId="0" borderId="26" xfId="0" applyFont="1" applyBorder="1" applyAlignment="1">
      <alignment vertical="center" wrapText="1"/>
    </xf>
    <xf numFmtId="166" fontId="23" fillId="0" borderId="4" xfId="0" applyNumberFormat="1" applyFont="1" applyBorder="1" applyAlignment="1">
      <alignment vertical="center" wrapText="1"/>
    </xf>
    <xf numFmtId="0" fontId="21" fillId="0" borderId="27" xfId="0" applyFont="1" applyBorder="1" applyAlignment="1">
      <alignment vertical="center" wrapText="1"/>
    </xf>
    <xf numFmtId="0" fontId="21" fillId="20" borderId="0" xfId="0" applyFont="1" applyFill="1" applyAlignment="1">
      <alignment vertical="center" wrapText="1"/>
    </xf>
    <xf numFmtId="0" fontId="21" fillId="0" borderId="28" xfId="0" applyFont="1" applyBorder="1" applyAlignment="1">
      <alignment vertical="center" wrapText="1"/>
    </xf>
    <xf numFmtId="10" fontId="21" fillId="0" borderId="4" xfId="0" applyNumberFormat="1" applyFont="1" applyBorder="1" applyAlignment="1">
      <alignment vertical="center" wrapText="1"/>
    </xf>
    <xf numFmtId="166" fontId="21" fillId="0" borderId="4" xfId="6" applyNumberFormat="1" applyFont="1" applyBorder="1" applyAlignment="1">
      <alignment vertical="center" wrapText="1"/>
    </xf>
    <xf numFmtId="9" fontId="21" fillId="0" borderId="0" xfId="6" applyFont="1" applyAlignment="1">
      <alignment vertical="center" wrapText="1"/>
    </xf>
    <xf numFmtId="0" fontId="24" fillId="20" borderId="0" xfId="0" applyFont="1" applyFill="1" applyAlignment="1">
      <alignment horizontal="center" vertical="center" wrapText="1"/>
    </xf>
    <xf numFmtId="10" fontId="21" fillId="0" borderId="26" xfId="0" applyNumberFormat="1" applyFont="1" applyBorder="1" applyAlignment="1">
      <alignment vertical="center" wrapText="1"/>
    </xf>
    <xf numFmtId="168" fontId="21" fillId="0" borderId="0" xfId="0" applyNumberFormat="1" applyFont="1" applyAlignment="1">
      <alignment vertical="center" wrapText="1"/>
    </xf>
    <xf numFmtId="0" fontId="24" fillId="0" borderId="26" xfId="0" applyFont="1" applyBorder="1" applyAlignment="1">
      <alignment vertical="center" wrapText="1"/>
    </xf>
    <xf numFmtId="0" fontId="24" fillId="0" borderId="27" xfId="0" applyFont="1" applyBorder="1" applyAlignment="1">
      <alignment vertical="center" wrapText="1"/>
    </xf>
    <xf numFmtId="0" fontId="24" fillId="20" borderId="0" xfId="0" applyFont="1" applyFill="1" applyAlignment="1">
      <alignment vertical="center" wrapText="1"/>
    </xf>
    <xf numFmtId="10" fontId="21" fillId="0" borderId="0" xfId="0" applyNumberFormat="1" applyFont="1" applyAlignment="1">
      <alignment vertical="center" wrapText="1"/>
    </xf>
    <xf numFmtId="43" fontId="24" fillId="0" borderId="31" xfId="5" applyFont="1" applyBorder="1" applyAlignment="1">
      <alignment vertical="center" wrapText="1"/>
    </xf>
    <xf numFmtId="43" fontId="24" fillId="0" borderId="32" xfId="5" applyFont="1" applyBorder="1" applyAlignment="1">
      <alignment vertical="center" wrapText="1"/>
    </xf>
    <xf numFmtId="43" fontId="24" fillId="20" borderId="0" xfId="5" applyFont="1" applyFill="1" applyAlignment="1">
      <alignment vertical="center" wrapText="1"/>
    </xf>
    <xf numFmtId="0" fontId="21" fillId="0" borderId="0" xfId="0" applyFont="1" applyAlignment="1">
      <alignment horizontal="center" vertical="center" wrapText="1"/>
    </xf>
    <xf numFmtId="0" fontId="22" fillId="20" borderId="8" xfId="0" applyFont="1" applyFill="1" applyBorder="1" applyAlignment="1">
      <alignment horizontal="center" vertical="center" wrapText="1"/>
    </xf>
    <xf numFmtId="0" fontId="24" fillId="0" borderId="0" xfId="0" applyFont="1" applyAlignment="1">
      <alignment horizontal="center" vertical="center" wrapText="1"/>
    </xf>
    <xf numFmtId="0" fontId="24" fillId="0" borderId="27" xfId="0" applyFont="1" applyBorder="1" applyAlignment="1">
      <alignment horizontal="center" vertical="center" wrapText="1"/>
    </xf>
    <xf numFmtId="0" fontId="20" fillId="0" borderId="0" xfId="0" applyFont="1" applyAlignment="1">
      <alignment horizontal="center" vertical="center" wrapText="1"/>
    </xf>
    <xf numFmtId="0" fontId="21" fillId="0" borderId="33" xfId="0" applyFont="1" applyBorder="1" applyAlignment="1">
      <alignment vertical="center" wrapText="1"/>
    </xf>
    <xf numFmtId="166" fontId="21" fillId="0" borderId="5" xfId="0" applyNumberFormat="1" applyFont="1" applyBorder="1" applyAlignment="1">
      <alignment vertical="center" wrapText="1"/>
    </xf>
    <xf numFmtId="166" fontId="21" fillId="0" borderId="5" xfId="6" applyNumberFormat="1" applyFont="1" applyBorder="1" applyAlignment="1">
      <alignment vertical="center" wrapText="1"/>
    </xf>
    <xf numFmtId="43" fontId="24" fillId="0" borderId="5" xfId="5" applyFont="1" applyBorder="1" applyAlignment="1">
      <alignment vertical="center" wrapText="1"/>
    </xf>
    <xf numFmtId="43" fontId="24" fillId="0" borderId="6" xfId="5" applyFont="1" applyBorder="1" applyAlignment="1">
      <alignment vertical="center" wrapText="1"/>
    </xf>
    <xf numFmtId="43" fontId="24" fillId="20" borderId="19" xfId="5" applyFont="1" applyFill="1" applyBorder="1" applyAlignment="1">
      <alignment vertical="center" wrapText="1"/>
    </xf>
    <xf numFmtId="2" fontId="20" fillId="0" borderId="0" xfId="0" applyNumberFormat="1" applyFont="1" applyAlignment="1">
      <alignment vertical="center" wrapText="1"/>
    </xf>
    <xf numFmtId="43" fontId="20" fillId="0" borderId="0" xfId="0" applyNumberFormat="1" applyFont="1" applyAlignment="1">
      <alignment vertical="center" wrapText="1"/>
    </xf>
    <xf numFmtId="0" fontId="21" fillId="0" borderId="31" xfId="0" applyFont="1" applyBorder="1" applyAlignment="1">
      <alignment vertical="center" wrapText="1"/>
    </xf>
    <xf numFmtId="166" fontId="21" fillId="0" borderId="4" xfId="0" applyNumberFormat="1" applyFont="1" applyBorder="1" applyAlignment="1">
      <alignment vertical="center" wrapText="1"/>
    </xf>
    <xf numFmtId="43" fontId="24" fillId="0" borderId="4" xfId="5" applyFont="1" applyBorder="1" applyAlignment="1">
      <alignment vertical="center" wrapText="1"/>
    </xf>
    <xf numFmtId="43" fontId="24" fillId="20" borderId="15" xfId="5" applyFont="1" applyFill="1" applyBorder="1" applyAlignment="1">
      <alignment vertical="center" wrapText="1"/>
    </xf>
    <xf numFmtId="0" fontId="21" fillId="0" borderId="4" xfId="0" applyFont="1" applyBorder="1" applyAlignment="1">
      <alignment vertical="center" wrapText="1"/>
    </xf>
    <xf numFmtId="0" fontId="21" fillId="13" borderId="31" xfId="0" applyFont="1" applyFill="1" applyBorder="1" applyAlignment="1">
      <alignment vertical="center" wrapText="1"/>
    </xf>
    <xf numFmtId="166" fontId="21" fillId="13" borderId="4" xfId="0" applyNumberFormat="1" applyFont="1" applyFill="1" applyBorder="1" applyAlignment="1">
      <alignment vertical="center" wrapText="1"/>
    </xf>
    <xf numFmtId="166" fontId="21" fillId="13" borderId="4" xfId="6" applyNumberFormat="1" applyFont="1" applyFill="1" applyBorder="1" applyAlignment="1">
      <alignment vertical="center" wrapText="1"/>
    </xf>
    <xf numFmtId="0" fontId="21" fillId="13" borderId="4" xfId="0" applyFont="1" applyFill="1" applyBorder="1" applyAlignment="1">
      <alignment vertical="center" wrapText="1"/>
    </xf>
    <xf numFmtId="43" fontId="25" fillId="13" borderId="4" xfId="5" applyFont="1" applyFill="1" applyBorder="1" applyAlignment="1">
      <alignment vertical="center" wrapText="1"/>
    </xf>
    <xf numFmtId="43" fontId="24" fillId="13" borderId="32" xfId="5" applyFont="1" applyFill="1" applyBorder="1" applyAlignment="1">
      <alignment vertical="center" wrapText="1"/>
    </xf>
    <xf numFmtId="171" fontId="21" fillId="13" borderId="4" xfId="0" applyNumberFormat="1" applyFont="1" applyFill="1" applyBorder="1" applyAlignment="1">
      <alignment vertical="center" wrapText="1"/>
    </xf>
    <xf numFmtId="0" fontId="21" fillId="0" borderId="34" xfId="0" applyFont="1" applyBorder="1" applyAlignment="1">
      <alignment vertical="center" wrapText="1"/>
    </xf>
    <xf numFmtId="166" fontId="21" fillId="0" borderId="35" xfId="0" applyNumberFormat="1" applyFont="1" applyBorder="1" applyAlignment="1">
      <alignment vertical="center" wrapText="1"/>
    </xf>
    <xf numFmtId="166" fontId="21" fillId="0" borderId="35" xfId="6" applyNumberFormat="1" applyFont="1" applyBorder="1" applyAlignment="1">
      <alignment vertical="center" wrapText="1"/>
    </xf>
    <xf numFmtId="0" fontId="21" fillId="0" borderId="35" xfId="0" applyFont="1" applyBorder="1" applyAlignment="1">
      <alignment vertical="center" wrapText="1"/>
    </xf>
    <xf numFmtId="43" fontId="24" fillId="0" borderId="36" xfId="5" applyFont="1" applyBorder="1" applyAlignment="1">
      <alignment vertical="center" wrapText="1"/>
    </xf>
    <xf numFmtId="43" fontId="24" fillId="0" borderId="37" xfId="5" applyFont="1" applyBorder="1" applyAlignment="1">
      <alignment vertical="center" wrapText="1"/>
    </xf>
    <xf numFmtId="43" fontId="24" fillId="20" borderId="35" xfId="5" applyFont="1" applyFill="1" applyBorder="1" applyAlignment="1">
      <alignment vertical="center" wrapText="1"/>
    </xf>
    <xf numFmtId="166" fontId="21" fillId="0" borderId="36" xfId="0" applyNumberFormat="1" applyFont="1" applyBorder="1" applyAlignment="1">
      <alignment vertical="center" wrapText="1"/>
    </xf>
    <xf numFmtId="166" fontId="21" fillId="0" borderId="25" xfId="0" applyNumberFormat="1" applyFont="1" applyBorder="1" applyAlignment="1">
      <alignment vertical="center" wrapText="1"/>
    </xf>
    <xf numFmtId="166" fontId="21" fillId="0" borderId="0" xfId="0" applyNumberFormat="1" applyFont="1" applyAlignment="1">
      <alignment vertical="center" wrapText="1"/>
    </xf>
    <xf numFmtId="170" fontId="21" fillId="0" borderId="0" xfId="0" applyNumberFormat="1" applyFont="1" applyAlignment="1">
      <alignment vertical="center" wrapText="1"/>
    </xf>
    <xf numFmtId="43" fontId="21" fillId="0" borderId="0" xfId="0" applyNumberFormat="1" applyFont="1" applyAlignment="1">
      <alignment vertical="center" wrapText="1"/>
    </xf>
    <xf numFmtId="0" fontId="26" fillId="0" borderId="0" xfId="0" applyFont="1" applyAlignment="1">
      <alignment vertical="center" wrapText="1"/>
    </xf>
    <xf numFmtId="166" fontId="20" fillId="0" borderId="0" xfId="6" applyNumberFormat="1" applyFont="1" applyAlignment="1">
      <alignment vertical="center" wrapText="1"/>
    </xf>
    <xf numFmtId="43" fontId="27" fillId="0" borderId="35" xfId="5" applyFont="1" applyBorder="1" applyAlignment="1">
      <alignment vertical="center" wrapText="1"/>
    </xf>
    <xf numFmtId="172" fontId="20" fillId="0" borderId="0" xfId="0" applyNumberFormat="1" applyFont="1" applyAlignment="1">
      <alignment vertical="center" wrapText="1"/>
    </xf>
    <xf numFmtId="171" fontId="20" fillId="0" borderId="0" xfId="0" applyNumberFormat="1" applyFont="1" applyAlignment="1">
      <alignment vertical="center" wrapText="1"/>
    </xf>
    <xf numFmtId="170" fontId="26" fillId="21" borderId="0" xfId="0" applyNumberFormat="1" applyFont="1" applyFill="1" applyAlignment="1">
      <alignment vertical="center" wrapText="1"/>
    </xf>
    <xf numFmtId="166" fontId="20" fillId="0" borderId="0" xfId="0" applyNumberFormat="1" applyFont="1" applyAlignment="1">
      <alignment vertical="center" wrapText="1"/>
    </xf>
    <xf numFmtId="173" fontId="20" fillId="0" borderId="0" xfId="5" applyNumberFormat="1" applyFont="1" applyAlignment="1">
      <alignment vertical="center" wrapText="1"/>
    </xf>
    <xf numFmtId="174" fontId="20" fillId="0" borderId="0" xfId="6" applyNumberFormat="1" applyFont="1" applyAlignment="1">
      <alignment vertical="center" wrapText="1"/>
    </xf>
    <xf numFmtId="0" fontId="26" fillId="0" borderId="4" xfId="0" applyFont="1" applyBorder="1" applyAlignment="1">
      <alignment vertical="center" wrapText="1"/>
    </xf>
    <xf numFmtId="171" fontId="20" fillId="0" borderId="0" xfId="6" applyNumberFormat="1" applyFont="1" applyAlignment="1">
      <alignment vertical="center" wrapText="1"/>
    </xf>
    <xf numFmtId="43" fontId="20" fillId="0" borderId="0" xfId="0" applyNumberFormat="1" applyFont="1" applyAlignment="1">
      <alignment vertical="center"/>
    </xf>
    <xf numFmtId="43" fontId="28" fillId="0" borderId="25" xfId="0" applyNumberFormat="1" applyFont="1" applyBorder="1" applyAlignment="1">
      <alignment vertical="center" wrapText="1"/>
    </xf>
    <xf numFmtId="43" fontId="26" fillId="0" borderId="25" xfId="0" applyNumberFormat="1" applyFont="1" applyBorder="1" applyAlignment="1">
      <alignment vertical="center" wrapText="1"/>
    </xf>
    <xf numFmtId="43" fontId="28" fillId="0" borderId="0" xfId="0" applyNumberFormat="1" applyFont="1" applyAlignment="1">
      <alignment vertical="center" wrapText="1"/>
    </xf>
    <xf numFmtId="43" fontId="26" fillId="0" borderId="0" xfId="0" applyNumberFormat="1" applyFont="1" applyAlignment="1">
      <alignment vertical="center" wrapText="1"/>
    </xf>
    <xf numFmtId="173" fontId="20" fillId="0" borderId="0" xfId="0" applyNumberFormat="1" applyFont="1" applyAlignment="1">
      <alignment vertical="center" wrapText="1"/>
    </xf>
    <xf numFmtId="43" fontId="28" fillId="13" borderId="25" xfId="0" applyNumberFormat="1" applyFont="1" applyFill="1" applyBorder="1" applyAlignment="1">
      <alignment vertical="center" wrapText="1"/>
    </xf>
    <xf numFmtId="43" fontId="20" fillId="0" borderId="0" xfId="5" applyFont="1" applyAlignment="1">
      <alignment vertical="center" wrapText="1"/>
    </xf>
    <xf numFmtId="175" fontId="20" fillId="0" borderId="0" xfId="0" applyNumberFormat="1" applyFont="1" applyAlignment="1">
      <alignment vertical="center" wrapText="1"/>
    </xf>
    <xf numFmtId="9" fontId="21" fillId="13" borderId="25" xfId="6" applyFont="1" applyFill="1" applyBorder="1" applyAlignment="1">
      <alignment vertical="center" wrapText="1"/>
    </xf>
    <xf numFmtId="2" fontId="29" fillId="22" borderId="25" xfId="6" applyNumberFormat="1" applyFont="1" applyFill="1" applyBorder="1" applyAlignment="1">
      <alignment vertical="center" wrapText="1"/>
    </xf>
    <xf numFmtId="2" fontId="21" fillId="13" borderId="39" xfId="6" applyNumberFormat="1" applyFont="1" applyFill="1" applyBorder="1" applyAlignment="1">
      <alignment vertical="center" wrapText="1"/>
    </xf>
    <xf numFmtId="9" fontId="21" fillId="0" borderId="25" xfId="6" applyFont="1" applyBorder="1" applyAlignment="1">
      <alignment vertical="center" wrapText="1"/>
    </xf>
    <xf numFmtId="9" fontId="22" fillId="20" borderId="25" xfId="6" applyFont="1" applyFill="1" applyBorder="1" applyAlignment="1">
      <alignment vertical="center" wrapText="1"/>
    </xf>
    <xf numFmtId="166" fontId="30" fillId="23" borderId="4" xfId="0" applyNumberFormat="1" applyFont="1" applyFill="1" applyBorder="1" applyAlignment="1">
      <alignment vertical="center" wrapText="1"/>
    </xf>
    <xf numFmtId="171" fontId="30" fillId="23" borderId="4" xfId="0" applyNumberFormat="1" applyFont="1" applyFill="1" applyBorder="1" applyAlignment="1">
      <alignment vertical="center" wrapText="1"/>
    </xf>
    <xf numFmtId="43" fontId="26" fillId="21" borderId="0" xfId="0" applyNumberFormat="1" applyFont="1" applyFill="1" applyAlignment="1">
      <alignment vertical="center" wrapText="1"/>
    </xf>
    <xf numFmtId="176" fontId="20" fillId="0" borderId="0" xfId="6" applyNumberFormat="1" applyFont="1" applyAlignment="1">
      <alignment vertical="center" wrapText="1"/>
    </xf>
    <xf numFmtId="177" fontId="20" fillId="0" borderId="0" xfId="5" applyNumberFormat="1" applyFont="1" applyAlignment="1">
      <alignment vertical="center" wrapText="1"/>
    </xf>
    <xf numFmtId="10" fontId="20" fillId="0" borderId="0" xfId="6" applyNumberFormat="1" applyFont="1" applyAlignment="1">
      <alignment vertical="center" wrapText="1"/>
    </xf>
    <xf numFmtId="169" fontId="1" fillId="6" borderId="4" xfId="6" applyNumberFormat="1" applyFont="1" applyFill="1" applyBorder="1" applyAlignment="1">
      <alignment horizontal="center" vertical="center"/>
    </xf>
    <xf numFmtId="166" fontId="31" fillId="24" borderId="0" xfId="0" applyNumberFormat="1" applyFont="1" applyFill="1" applyAlignment="1">
      <alignment vertical="center" wrapText="1"/>
    </xf>
    <xf numFmtId="9" fontId="20" fillId="0" borderId="0" xfId="0" applyNumberFormat="1" applyFont="1" applyAlignment="1">
      <alignment vertical="center" wrapText="1"/>
    </xf>
    <xf numFmtId="0" fontId="6" fillId="5" borderId="12" xfId="1" applyFont="1" applyFill="1" applyBorder="1" applyAlignment="1">
      <alignment horizontal="center" vertical="center"/>
    </xf>
    <xf numFmtId="0" fontId="5" fillId="8" borderId="10"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14" borderId="10" xfId="0" applyFont="1" applyFill="1" applyBorder="1" applyAlignment="1">
      <alignment horizontal="center"/>
    </xf>
    <xf numFmtId="0" fontId="5" fillId="14" borderId="15" xfId="0" applyFont="1" applyFill="1" applyBorder="1" applyAlignment="1">
      <alignment horizontal="center"/>
    </xf>
    <xf numFmtId="0" fontId="5" fillId="14" borderId="16" xfId="0" applyFont="1" applyFill="1" applyBorder="1" applyAlignment="1">
      <alignment horizontal="center"/>
    </xf>
    <xf numFmtId="0" fontId="5" fillId="15" borderId="10" xfId="0" applyFont="1" applyFill="1" applyBorder="1" applyAlignment="1">
      <alignment horizontal="center"/>
    </xf>
    <xf numFmtId="0" fontId="5" fillId="15" borderId="15" xfId="0" applyFont="1" applyFill="1" applyBorder="1" applyAlignment="1">
      <alignment horizontal="center"/>
    </xf>
    <xf numFmtId="0" fontId="5" fillId="15" borderId="16" xfId="0" applyFont="1" applyFill="1" applyBorder="1" applyAlignment="1">
      <alignment horizontal="center"/>
    </xf>
    <xf numFmtId="0" fontId="6" fillId="9" borderId="10" xfId="1" applyFont="1" applyFill="1" applyBorder="1" applyAlignment="1">
      <alignment horizontal="center" vertical="center" wrapText="1"/>
    </xf>
    <xf numFmtId="0" fontId="6" fillId="9" borderId="16" xfId="1" applyFont="1" applyFill="1" applyBorder="1" applyAlignment="1">
      <alignment horizontal="center" vertical="center" wrapText="1"/>
    </xf>
    <xf numFmtId="0" fontId="6" fillId="8" borderId="10" xfId="1" applyFont="1" applyFill="1" applyBorder="1" applyAlignment="1">
      <alignment horizontal="center" vertical="center" wrapText="1"/>
    </xf>
    <xf numFmtId="0" fontId="6" fillId="8" borderId="16" xfId="1" applyFont="1" applyFill="1" applyBorder="1" applyAlignment="1">
      <alignment horizontal="center" vertical="center" wrapText="1"/>
    </xf>
    <xf numFmtId="0" fontId="6" fillId="12" borderId="10" xfId="1" applyFont="1" applyFill="1" applyBorder="1" applyAlignment="1">
      <alignment horizontal="center" vertical="center" wrapText="1"/>
    </xf>
    <xf numFmtId="0" fontId="6" fillId="12" borderId="16" xfId="1" applyFont="1" applyFill="1" applyBorder="1" applyAlignment="1">
      <alignment horizontal="center" vertical="center" wrapText="1"/>
    </xf>
    <xf numFmtId="0" fontId="6" fillId="8" borderId="13" xfId="1" applyFont="1" applyFill="1" applyBorder="1" applyAlignment="1">
      <alignment horizontal="center" vertical="center" wrapText="1"/>
    </xf>
    <xf numFmtId="0" fontId="6" fillId="8" borderId="17" xfId="1" applyFont="1" applyFill="1" applyBorder="1" applyAlignment="1">
      <alignment horizontal="center" vertical="center" wrapText="1"/>
    </xf>
    <xf numFmtId="0" fontId="6" fillId="8" borderId="14" xfId="1" applyFont="1" applyFill="1" applyBorder="1" applyAlignment="1">
      <alignment horizontal="center" vertical="center" wrapText="1"/>
    </xf>
    <xf numFmtId="0" fontId="6" fillId="5" borderId="13" xfId="1" applyFont="1" applyFill="1" applyBorder="1" applyAlignment="1">
      <alignment horizontal="center" vertical="center"/>
    </xf>
    <xf numFmtId="0" fontId="6" fillId="5" borderId="14" xfId="1" applyFont="1" applyFill="1" applyBorder="1" applyAlignment="1">
      <alignment horizontal="center" vertical="center"/>
    </xf>
    <xf numFmtId="0" fontId="6" fillId="5" borderId="5" xfId="1" applyFont="1" applyFill="1" applyBorder="1" applyAlignment="1">
      <alignment horizontal="center" vertical="center"/>
    </xf>
    <xf numFmtId="0" fontId="6" fillId="5" borderId="6" xfId="1" applyFont="1" applyFill="1" applyBorder="1" applyAlignment="1">
      <alignment horizontal="center" vertical="center"/>
    </xf>
    <xf numFmtId="0" fontId="6" fillId="5" borderId="17" xfId="1" applyFont="1" applyFill="1" applyBorder="1" applyAlignment="1">
      <alignment horizontal="center" vertical="center"/>
    </xf>
    <xf numFmtId="0" fontId="6" fillId="13" borderId="10" xfId="1" applyFont="1" applyFill="1" applyBorder="1" applyAlignment="1">
      <alignment horizontal="center" vertical="center"/>
    </xf>
    <xf numFmtId="0" fontId="6" fillId="13" borderId="15" xfId="1" applyFont="1" applyFill="1" applyBorder="1" applyAlignment="1">
      <alignment horizontal="center" vertical="center"/>
    </xf>
    <xf numFmtId="0" fontId="6" fillId="13" borderId="16" xfId="1" applyFont="1" applyFill="1" applyBorder="1" applyAlignment="1">
      <alignment horizontal="center" vertical="center"/>
    </xf>
    <xf numFmtId="0" fontId="14" fillId="18" borderId="4" xfId="3" applyFont="1" applyFill="1" applyBorder="1" applyAlignment="1">
      <alignment horizontal="center" vertical="center" wrapText="1"/>
    </xf>
    <xf numFmtId="0" fontId="7" fillId="3" borderId="18" xfId="3" applyFont="1" applyBorder="1" applyAlignment="1">
      <alignment horizontal="center" vertical="center"/>
    </xf>
    <xf numFmtId="0" fontId="7" fillId="3" borderId="19" xfId="3" applyFont="1" applyBorder="1" applyAlignment="1">
      <alignment horizontal="center" vertical="center"/>
    </xf>
    <xf numFmtId="0" fontId="7" fillId="3" borderId="11" xfId="3" applyFont="1" applyBorder="1" applyAlignment="1">
      <alignment horizontal="center" vertical="center"/>
    </xf>
    <xf numFmtId="0" fontId="14" fillId="17" borderId="8" xfId="3" applyFont="1" applyFill="1" applyBorder="1" applyAlignment="1">
      <alignment horizontal="center" vertical="center" wrapText="1"/>
    </xf>
    <xf numFmtId="0" fontId="14" fillId="17" borderId="21" xfId="3" applyFont="1" applyFill="1" applyBorder="1" applyAlignment="1">
      <alignment horizontal="center" vertical="center" wrapText="1"/>
    </xf>
    <xf numFmtId="0" fontId="14" fillId="17" borderId="12" xfId="3" applyFont="1" applyFill="1" applyBorder="1" applyAlignment="1">
      <alignment horizontal="center" vertical="center" wrapText="1"/>
    </xf>
    <xf numFmtId="0" fontId="21" fillId="13" borderId="28" xfId="0" applyFont="1" applyFill="1" applyBorder="1" applyAlignment="1">
      <alignment horizontal="center" vertical="center" wrapText="1"/>
    </xf>
    <xf numFmtId="0" fontId="21" fillId="13" borderId="30" xfId="0" applyFont="1" applyFill="1" applyBorder="1" applyAlignment="1">
      <alignment horizontal="center" vertical="center" wrapText="1"/>
    </xf>
    <xf numFmtId="0" fontId="22" fillId="20" borderId="22" xfId="0" applyFont="1" applyFill="1" applyBorder="1" applyAlignment="1">
      <alignment horizontal="center" vertical="center" wrapText="1"/>
    </xf>
    <xf numFmtId="0" fontId="22" fillId="20" borderId="23" xfId="0" applyFont="1" applyFill="1" applyBorder="1" applyAlignment="1">
      <alignment horizontal="center" vertical="center" wrapText="1"/>
    </xf>
    <xf numFmtId="0" fontId="22" fillId="20" borderId="24" xfId="0" applyFont="1" applyFill="1" applyBorder="1" applyAlignment="1">
      <alignment horizontal="center" vertical="center" wrapText="1"/>
    </xf>
    <xf numFmtId="0" fontId="24" fillId="0" borderId="28"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30" xfId="0" applyFont="1" applyBorder="1" applyAlignment="1">
      <alignment horizontal="center" vertical="center" wrapText="1"/>
    </xf>
    <xf numFmtId="0" fontId="20" fillId="0" borderId="0" xfId="0" applyFont="1" applyAlignment="1">
      <alignment vertical="center" wrapText="1"/>
    </xf>
    <xf numFmtId="0" fontId="26" fillId="0" borderId="1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38" xfId="0" applyFont="1" applyBorder="1" applyAlignment="1">
      <alignment horizontal="center" vertical="center" wrapText="1"/>
    </xf>
  </cellXfs>
  <cellStyles count="7">
    <cellStyle name="Check Cell" xfId="3" builtinId="23"/>
    <cellStyle name="Comma" xfId="5" builtinId="3"/>
    <cellStyle name="Good" xfId="2" builtinId="26"/>
    <cellStyle name="Heading 2" xfId="1" builtinId="17"/>
    <cellStyle name="Normal" xfId="0" builtinId="0"/>
    <cellStyle name="Note" xfId="4" builtinId="10"/>
    <cellStyle name="Percent" xfId="6" builtinId="5"/>
  </cellStyles>
  <dxfs count="0"/>
  <tableStyles count="0" defaultTableStyle="TableStyleMedium2" defaultPivotStyle="PivotStyleLight16"/>
  <colors>
    <mruColors>
      <color rgb="FF66FFFF"/>
      <color rgb="FFB889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BN15"/>
  <sheetViews>
    <sheetView showGridLines="0" tabSelected="1" zoomScale="90" zoomScaleNormal="90" workbookViewId="0">
      <pane xSplit="4" ySplit="3" topLeftCell="AD4" activePane="bottomRight" state="frozen"/>
      <selection pane="topRight" activeCell="E1" sqref="E1"/>
      <selection pane="bottomLeft" activeCell="A4" sqref="A4"/>
      <selection pane="bottomRight" activeCell="BI8" sqref="BI8"/>
    </sheetView>
  </sheetViews>
  <sheetFormatPr defaultRowHeight="14.5" x14ac:dyDescent="0.35"/>
  <cols>
    <col min="1" max="1" width="4.54296875" customWidth="1"/>
    <col min="2" max="2" width="30" customWidth="1"/>
    <col min="3" max="3" width="10.54296875" bestFit="1" customWidth="1"/>
    <col min="4" max="4" width="13.26953125" bestFit="1" customWidth="1"/>
    <col min="5" max="5" width="12.81640625" customWidth="1"/>
    <col min="6" max="6" width="10.81640625" customWidth="1"/>
    <col min="7" max="7" width="10.453125" customWidth="1"/>
    <col min="8" max="8" width="10.1796875" customWidth="1"/>
    <col min="9" max="12" width="10.7265625" customWidth="1"/>
    <col min="13" max="13" width="9.26953125" customWidth="1"/>
    <col min="14" max="14" width="10.81640625" customWidth="1"/>
    <col min="15" max="15" width="9.453125" customWidth="1"/>
    <col min="16" max="16" width="11" customWidth="1"/>
    <col min="17" max="17" width="13.453125" customWidth="1"/>
    <col min="18" max="18" width="9.453125" customWidth="1"/>
    <col min="19" max="19" width="10" style="2" bestFit="1" customWidth="1"/>
    <col min="20" max="20" width="14.1796875" bestFit="1" customWidth="1"/>
    <col min="21" max="21" width="12.7265625" customWidth="1"/>
    <col min="22" max="22" width="17.81640625" style="4" customWidth="1"/>
    <col min="23" max="23" width="12.7265625" bestFit="1" customWidth="1"/>
    <col min="24" max="24" width="11.81640625" customWidth="1"/>
    <col min="25" max="25" width="13.1796875" customWidth="1"/>
    <col min="26" max="26" width="17.81640625" customWidth="1"/>
    <col min="27" max="27" width="13.26953125" bestFit="1" customWidth="1"/>
    <col min="28" max="28" width="11.54296875" customWidth="1"/>
    <col min="29" max="30" width="13" customWidth="1"/>
    <col min="31" max="31" width="11.81640625" bestFit="1" customWidth="1"/>
    <col min="32" max="32" width="11.81640625" customWidth="1"/>
    <col min="33" max="33" width="12.54296875" style="3" customWidth="1"/>
    <col min="34" max="34" width="11" bestFit="1" customWidth="1"/>
    <col min="35" max="35" width="12.7265625" customWidth="1"/>
    <col min="36" max="36" width="13.453125" customWidth="1"/>
    <col min="37" max="37" width="11.81640625" bestFit="1" customWidth="1"/>
    <col min="38" max="38" width="11" customWidth="1"/>
    <col min="39" max="50" width="14.1796875" customWidth="1"/>
    <col min="51" max="51" width="13.26953125" customWidth="1"/>
    <col min="52" max="52" width="12.81640625" customWidth="1"/>
    <col min="53" max="53" width="14.81640625" customWidth="1"/>
    <col min="54" max="54" width="12" customWidth="1"/>
    <col min="55" max="55" width="16.26953125" bestFit="1" customWidth="1"/>
    <col min="56" max="56" width="12.1796875" customWidth="1"/>
    <col min="57" max="57" width="11.81640625" customWidth="1"/>
    <col min="58" max="58" width="11" bestFit="1" customWidth="1"/>
    <col min="59" max="59" width="12.54296875" bestFit="1" customWidth="1"/>
    <col min="60" max="60" width="16.26953125" bestFit="1" customWidth="1"/>
    <col min="61" max="61" width="22.1796875" bestFit="1" customWidth="1"/>
    <col min="62" max="62" width="11" customWidth="1"/>
    <col min="63" max="63" width="13.453125" customWidth="1"/>
    <col min="65" max="66" width="23.26953125" bestFit="1" customWidth="1"/>
    <col min="68" max="68" width="11.81640625" bestFit="1" customWidth="1"/>
  </cols>
  <sheetData>
    <row r="1" spans="2:66" x14ac:dyDescent="0.35">
      <c r="E1" s="152" t="s">
        <v>45</v>
      </c>
      <c r="F1" s="153"/>
      <c r="G1" s="153"/>
      <c r="H1" s="153"/>
      <c r="I1" s="153"/>
      <c r="J1" s="153"/>
      <c r="K1" s="153"/>
      <c r="L1" s="153"/>
      <c r="M1" s="153"/>
      <c r="N1" s="153"/>
      <c r="O1" s="153"/>
      <c r="P1" s="153"/>
      <c r="Q1" s="153"/>
      <c r="R1" s="153"/>
      <c r="S1" s="154"/>
      <c r="T1" s="158" t="s">
        <v>32</v>
      </c>
      <c r="U1" s="159"/>
      <c r="V1" s="160"/>
      <c r="W1" s="155" t="s">
        <v>33</v>
      </c>
      <c r="X1" s="156"/>
      <c r="Y1" s="156"/>
      <c r="Z1" s="156"/>
      <c r="AA1" s="156"/>
      <c r="AB1" s="156"/>
      <c r="AC1" s="156"/>
      <c r="AD1" s="156"/>
      <c r="AE1" s="156"/>
      <c r="AF1" s="156"/>
      <c r="AG1" s="156"/>
      <c r="AH1" s="156"/>
      <c r="AI1" s="156"/>
      <c r="AJ1" s="156"/>
      <c r="AK1" s="156"/>
      <c r="AL1" s="156"/>
      <c r="AM1" s="156"/>
      <c r="AN1" s="156"/>
      <c r="AO1" s="156"/>
      <c r="AP1" s="156"/>
      <c r="AQ1" s="156"/>
      <c r="AR1" s="156"/>
      <c r="AS1" s="156"/>
      <c r="AT1" s="156"/>
      <c r="AU1" s="156"/>
      <c r="AV1" s="156"/>
      <c r="AW1" s="156"/>
      <c r="AX1" s="156"/>
      <c r="AY1" s="156"/>
      <c r="AZ1" s="156"/>
      <c r="BA1" s="156"/>
      <c r="BB1" s="156"/>
      <c r="BC1" s="156"/>
      <c r="BD1" s="156"/>
      <c r="BE1" s="156"/>
      <c r="BF1" s="156"/>
      <c r="BG1" s="156"/>
      <c r="BH1" s="157"/>
      <c r="BI1" s="7"/>
      <c r="BJ1" s="7"/>
      <c r="BK1" s="7"/>
    </row>
    <row r="2" spans="2:66" ht="34" x14ac:dyDescent="0.35">
      <c r="B2" s="179" t="s">
        <v>3</v>
      </c>
      <c r="C2" s="180"/>
      <c r="D2" s="181"/>
      <c r="E2" s="163" t="s">
        <v>14</v>
      </c>
      <c r="F2" s="164"/>
      <c r="G2" s="161" t="s">
        <v>38</v>
      </c>
      <c r="H2" s="162"/>
      <c r="I2" s="161" t="s">
        <v>39</v>
      </c>
      <c r="J2" s="162"/>
      <c r="K2" s="165" t="s">
        <v>46</v>
      </c>
      <c r="L2" s="166"/>
      <c r="M2" s="161" t="s">
        <v>40</v>
      </c>
      <c r="N2" s="162"/>
      <c r="O2" s="161" t="s">
        <v>41</v>
      </c>
      <c r="P2" s="162"/>
      <c r="Q2" s="167" t="s">
        <v>42</v>
      </c>
      <c r="R2" s="168"/>
      <c r="S2" s="169"/>
      <c r="T2" s="170" t="s">
        <v>12</v>
      </c>
      <c r="U2" s="171"/>
      <c r="V2" s="6" t="s">
        <v>47</v>
      </c>
      <c r="W2" s="151" t="s">
        <v>26</v>
      </c>
      <c r="X2" s="151"/>
      <c r="Y2" s="151"/>
      <c r="Z2" s="151"/>
      <c r="AA2" s="170" t="s">
        <v>28</v>
      </c>
      <c r="AB2" s="174"/>
      <c r="AC2" s="174"/>
      <c r="AD2" s="171"/>
      <c r="AE2" s="151" t="s">
        <v>27</v>
      </c>
      <c r="AF2" s="151"/>
      <c r="AG2" s="151"/>
      <c r="AH2" s="151"/>
      <c r="AI2" s="170" t="s">
        <v>35</v>
      </c>
      <c r="AJ2" s="174"/>
      <c r="AK2" s="174"/>
      <c r="AL2" s="171"/>
      <c r="AM2" s="175" t="s">
        <v>50</v>
      </c>
      <c r="AN2" s="176"/>
      <c r="AO2" s="176"/>
      <c r="AP2" s="177"/>
      <c r="AQ2" s="175" t="s">
        <v>48</v>
      </c>
      <c r="AR2" s="176"/>
      <c r="AS2" s="176"/>
      <c r="AT2" s="177"/>
      <c r="AU2" s="151" t="s">
        <v>0</v>
      </c>
      <c r="AV2" s="151"/>
      <c r="AW2" s="151"/>
      <c r="AX2" s="151"/>
      <c r="AY2" s="170" t="s">
        <v>1</v>
      </c>
      <c r="AZ2" s="171"/>
      <c r="BA2" s="151" t="s">
        <v>25</v>
      </c>
      <c r="BB2" s="151"/>
      <c r="BC2" s="151" t="s">
        <v>24</v>
      </c>
      <c r="BD2" s="151"/>
      <c r="BE2" s="151"/>
      <c r="BF2" s="151"/>
      <c r="BG2" s="151" t="s">
        <v>8</v>
      </c>
      <c r="BH2" s="151"/>
      <c r="BI2" s="5" t="s">
        <v>31</v>
      </c>
      <c r="BJ2" s="172" t="s">
        <v>10</v>
      </c>
      <c r="BK2" s="173"/>
    </row>
    <row r="3" spans="2:66" ht="58" x14ac:dyDescent="0.35">
      <c r="B3" s="9" t="s">
        <v>4</v>
      </c>
      <c r="C3" s="10" t="s">
        <v>5</v>
      </c>
      <c r="D3" s="10" t="s">
        <v>37</v>
      </c>
      <c r="E3" s="11" t="s">
        <v>43</v>
      </c>
      <c r="F3" s="11" t="s">
        <v>13</v>
      </c>
      <c r="G3" s="12" t="s">
        <v>43</v>
      </c>
      <c r="H3" s="13" t="s">
        <v>13</v>
      </c>
      <c r="I3" s="13" t="s">
        <v>43</v>
      </c>
      <c r="J3" s="13" t="s">
        <v>13</v>
      </c>
      <c r="K3" s="13" t="s">
        <v>43</v>
      </c>
      <c r="L3" s="13" t="s">
        <v>13</v>
      </c>
      <c r="M3" s="13" t="s">
        <v>43</v>
      </c>
      <c r="N3" s="13" t="s">
        <v>13</v>
      </c>
      <c r="O3" s="13" t="s">
        <v>43</v>
      </c>
      <c r="P3" s="13" t="s">
        <v>13</v>
      </c>
      <c r="Q3" s="14" t="s">
        <v>43</v>
      </c>
      <c r="R3" s="14" t="s">
        <v>13</v>
      </c>
      <c r="S3" s="15" t="s">
        <v>44</v>
      </c>
      <c r="T3" s="16" t="s">
        <v>16</v>
      </c>
      <c r="U3" s="16" t="s">
        <v>15</v>
      </c>
      <c r="V3" s="17"/>
      <c r="W3" s="16" t="s">
        <v>22</v>
      </c>
      <c r="X3" s="16" t="s">
        <v>29</v>
      </c>
      <c r="Y3" s="16" t="s">
        <v>18</v>
      </c>
      <c r="Z3" s="16" t="s">
        <v>19</v>
      </c>
      <c r="AA3" s="16" t="s">
        <v>22</v>
      </c>
      <c r="AB3" s="16" t="s">
        <v>29</v>
      </c>
      <c r="AC3" s="16" t="s">
        <v>18</v>
      </c>
      <c r="AD3" s="16" t="s">
        <v>19</v>
      </c>
      <c r="AE3" s="16" t="s">
        <v>22</v>
      </c>
      <c r="AF3" s="16" t="s">
        <v>29</v>
      </c>
      <c r="AG3" s="16" t="s">
        <v>17</v>
      </c>
      <c r="AH3" s="16" t="s">
        <v>19</v>
      </c>
      <c r="AI3" s="16" t="s">
        <v>22</v>
      </c>
      <c r="AJ3" s="16" t="s">
        <v>29</v>
      </c>
      <c r="AK3" s="16" t="s">
        <v>17</v>
      </c>
      <c r="AL3" s="16" t="s">
        <v>19</v>
      </c>
      <c r="AM3" s="16" t="s">
        <v>22</v>
      </c>
      <c r="AN3" s="16" t="s">
        <v>29</v>
      </c>
      <c r="AO3" s="16" t="s">
        <v>49</v>
      </c>
      <c r="AP3" s="16" t="s">
        <v>19</v>
      </c>
      <c r="AQ3" s="16" t="s">
        <v>22</v>
      </c>
      <c r="AR3" s="16" t="s">
        <v>29</v>
      </c>
      <c r="AS3" s="16" t="s">
        <v>49</v>
      </c>
      <c r="AT3" s="16" t="s">
        <v>19</v>
      </c>
      <c r="AU3" s="16" t="s">
        <v>22</v>
      </c>
      <c r="AV3" s="16" t="s">
        <v>29</v>
      </c>
      <c r="AW3" s="16" t="s">
        <v>20</v>
      </c>
      <c r="AX3" s="16" t="s">
        <v>19</v>
      </c>
      <c r="AY3" s="16" t="s">
        <v>34</v>
      </c>
      <c r="AZ3" s="16" t="s">
        <v>29</v>
      </c>
      <c r="BA3" s="16" t="s">
        <v>22</v>
      </c>
      <c r="BB3" s="16" t="s">
        <v>29</v>
      </c>
      <c r="BC3" s="16" t="s">
        <v>22</v>
      </c>
      <c r="BD3" s="16" t="s">
        <v>29</v>
      </c>
      <c r="BE3" s="16" t="s">
        <v>21</v>
      </c>
      <c r="BF3" s="16" t="s">
        <v>19</v>
      </c>
      <c r="BG3" s="16" t="s">
        <v>22</v>
      </c>
      <c r="BH3" s="16" t="s">
        <v>30</v>
      </c>
      <c r="BI3" s="18" t="s">
        <v>23</v>
      </c>
      <c r="BJ3" s="19" t="s">
        <v>9</v>
      </c>
      <c r="BK3" s="20" t="s">
        <v>2</v>
      </c>
    </row>
    <row r="4" spans="2:66" ht="15.5" x14ac:dyDescent="0.35">
      <c r="B4" s="182" t="s">
        <v>83</v>
      </c>
      <c r="C4" s="32" t="s">
        <v>6</v>
      </c>
      <c r="D4" s="36"/>
      <c r="E4" s="21">
        <v>1.4999999999999999E-2</v>
      </c>
      <c r="F4" s="51"/>
      <c r="G4" s="23"/>
      <c r="H4" s="23"/>
      <c r="I4" s="21">
        <v>1</v>
      </c>
      <c r="J4" s="1"/>
      <c r="K4" s="1"/>
      <c r="L4" s="1"/>
      <c r="M4" s="1"/>
      <c r="N4" s="1"/>
      <c r="O4" s="1"/>
      <c r="P4" s="1"/>
      <c r="Q4" s="21"/>
      <c r="R4" s="54"/>
      <c r="S4" s="26"/>
      <c r="T4" s="27">
        <v>0.15</v>
      </c>
      <c r="U4" s="28" t="s">
        <v>11</v>
      </c>
      <c r="V4" s="53">
        <f t="shared" ref="V4" si="0">(E4+F4)/(1+T4)</f>
        <v>1.3043478260869566E-2</v>
      </c>
      <c r="W4" s="33">
        <v>0.34925925925925921</v>
      </c>
      <c r="X4" s="28" t="s">
        <v>51</v>
      </c>
      <c r="Y4" s="25">
        <v>0.1</v>
      </c>
      <c r="Z4" s="28" t="s">
        <v>11</v>
      </c>
      <c r="AA4" s="1"/>
      <c r="AB4" s="28"/>
      <c r="AC4" s="1"/>
      <c r="AD4" s="1"/>
      <c r="AE4" s="34">
        <v>3.4848484848484844E-2</v>
      </c>
      <c r="AF4" s="28" t="s">
        <v>11</v>
      </c>
      <c r="AG4" s="31">
        <v>0.12</v>
      </c>
      <c r="AH4" s="28"/>
      <c r="AI4" s="34"/>
      <c r="AJ4" s="28"/>
      <c r="AK4" s="31"/>
      <c r="AL4" s="28"/>
      <c r="AM4" s="28"/>
      <c r="AN4" s="28"/>
      <c r="AO4" s="28"/>
      <c r="AP4" s="28"/>
      <c r="AQ4" s="28"/>
      <c r="AR4" s="28"/>
      <c r="AS4" s="28"/>
      <c r="AT4" s="28"/>
      <c r="AU4" s="30">
        <v>0.57736447811447811</v>
      </c>
      <c r="AV4" s="28" t="s">
        <v>11</v>
      </c>
      <c r="AW4" s="31"/>
      <c r="AX4" s="1"/>
      <c r="AY4" s="30"/>
      <c r="AZ4" s="28"/>
      <c r="BA4" s="21">
        <v>9.7999999999999997E-3</v>
      </c>
      <c r="BB4" s="28" t="s">
        <v>11</v>
      </c>
      <c r="BC4" s="21">
        <v>1.0200000000000001E-2</v>
      </c>
      <c r="BD4" s="28" t="s">
        <v>36</v>
      </c>
      <c r="BE4" s="25"/>
      <c r="BF4" s="28"/>
      <c r="BG4" s="1"/>
      <c r="BH4" s="1"/>
      <c r="BI4" s="148">
        <f>100%-BC4-BA4-AU4-AE4-W4</f>
        <v>1.852777777777781E-2</v>
      </c>
      <c r="BJ4" s="1"/>
      <c r="BK4" s="1"/>
      <c r="BL4" s="47"/>
      <c r="BM4" s="35">
        <f t="shared" ref="BM4:BM11" si="1">W4+AA4+AE4+AI4+AM4+AQ4+AU4+BA4+BC4+BI4</f>
        <v>1</v>
      </c>
    </row>
    <row r="5" spans="2:66" ht="15.5" x14ac:dyDescent="0.35">
      <c r="B5" s="183"/>
      <c r="C5" s="48" t="s">
        <v>6</v>
      </c>
      <c r="D5" s="36">
        <v>1000</v>
      </c>
      <c r="E5" s="40">
        <f>D5*E4</f>
        <v>15</v>
      </c>
      <c r="F5" s="38"/>
      <c r="G5" s="39"/>
      <c r="H5" s="39"/>
      <c r="I5" s="39">
        <f>E5*I4</f>
        <v>15</v>
      </c>
      <c r="J5" s="39"/>
      <c r="K5" s="39"/>
      <c r="L5" s="39"/>
      <c r="M5" s="39"/>
      <c r="N5" s="39"/>
      <c r="O5" s="39"/>
      <c r="P5" s="39"/>
      <c r="Q5" s="39"/>
      <c r="R5" s="42"/>
      <c r="S5" s="40"/>
      <c r="T5" s="41">
        <f t="shared" ref="T5" si="2">(E5-E5/(1+T4))+(F5-F5/(1+T4))</f>
        <v>1.9565217391304337</v>
      </c>
      <c r="U5" s="39"/>
      <c r="V5" s="42">
        <f t="shared" ref="V5" si="3">(E5+F5)/(1+T4)</f>
        <v>13.043478260869566</v>
      </c>
      <c r="W5" s="42">
        <f>V5*W4</f>
        <v>4.5555555555555554</v>
      </c>
      <c r="X5" s="43"/>
      <c r="Y5" s="42">
        <f>W5*Y4</f>
        <v>0.45555555555555555</v>
      </c>
      <c r="Z5" s="43"/>
      <c r="AA5" s="39"/>
      <c r="AB5" s="43"/>
      <c r="AC5" s="39"/>
      <c r="AD5" s="39"/>
      <c r="AE5" s="37">
        <f t="shared" ref="AE5:AE7" si="4">AE4*V5</f>
        <v>0.45454545454545453</v>
      </c>
      <c r="AF5" s="43"/>
      <c r="AG5" s="37">
        <f t="shared" ref="AG5:AG7" si="5">V5*AE4*AG4</f>
        <v>5.4545454545454543E-2</v>
      </c>
      <c r="AH5" s="49"/>
      <c r="AI5" s="37"/>
      <c r="AJ5" s="43"/>
      <c r="AK5" s="37"/>
      <c r="AL5" s="39"/>
      <c r="AM5" s="39"/>
      <c r="AN5" s="39"/>
      <c r="AO5" s="39"/>
      <c r="AP5" s="39"/>
      <c r="AQ5" s="39"/>
      <c r="AR5" s="39"/>
      <c r="AS5" s="39"/>
      <c r="AT5" s="39"/>
      <c r="AU5" s="37">
        <f t="shared" ref="AU5" si="6">AU4*V5</f>
        <v>7.5308410188844981</v>
      </c>
      <c r="AV5" s="44"/>
      <c r="AW5" s="45"/>
      <c r="AX5" s="46"/>
      <c r="AY5" s="37"/>
      <c r="AZ5" s="43"/>
      <c r="BA5" s="37">
        <f t="shared" ref="BA5" si="7">BA4*V5</f>
        <v>0.12782608695652176</v>
      </c>
      <c r="BB5" s="43"/>
      <c r="BC5" s="37">
        <f t="shared" ref="BC5:BC7" si="8">(E5+F5)/(1+T4)*BC4</f>
        <v>0.1330434782608696</v>
      </c>
      <c r="BD5" s="43"/>
      <c r="BE5" s="39"/>
      <c r="BF5" s="43"/>
      <c r="BG5" s="39"/>
      <c r="BH5" s="39"/>
      <c r="BI5" s="37">
        <f t="shared" ref="BI5:BI7" si="9">(E5+F5)/(1+T4)*BI4</f>
        <v>0.24166666666666711</v>
      </c>
      <c r="BJ5" s="39"/>
      <c r="BK5" s="39"/>
      <c r="BL5" s="47"/>
      <c r="BM5" s="57">
        <f t="shared" si="1"/>
        <v>13.043478260869566</v>
      </c>
      <c r="BN5" s="57">
        <f>BM5-V5</f>
        <v>0</v>
      </c>
    </row>
    <row r="6" spans="2:66" ht="15.5" x14ac:dyDescent="0.35">
      <c r="B6" s="183"/>
      <c r="C6" s="32" t="s">
        <v>7</v>
      </c>
      <c r="D6" s="36"/>
      <c r="E6" s="21">
        <v>1.4999999999999999E-2</v>
      </c>
      <c r="F6" s="52"/>
      <c r="G6" s="21"/>
      <c r="H6" s="23"/>
      <c r="I6" s="21">
        <v>1</v>
      </c>
      <c r="J6" s="1"/>
      <c r="K6" s="1"/>
      <c r="L6" s="1"/>
      <c r="M6" s="1"/>
      <c r="N6" s="1"/>
      <c r="O6" s="1"/>
      <c r="P6" s="1"/>
      <c r="Q6" s="21"/>
      <c r="R6" s="54"/>
      <c r="S6" s="56">
        <f>AY6</f>
        <v>1.132625</v>
      </c>
      <c r="T6" s="27">
        <v>0.15</v>
      </c>
      <c r="U6" s="28" t="s">
        <v>11</v>
      </c>
      <c r="V6" s="53">
        <f t="shared" ref="V6" si="10">(E6+F6)/(1+T6)</f>
        <v>1.3043478260869566E-2</v>
      </c>
      <c r="W6" s="33">
        <v>0.34925925925925921</v>
      </c>
      <c r="X6" s="28" t="s">
        <v>51</v>
      </c>
      <c r="Y6" s="25">
        <v>0.1</v>
      </c>
      <c r="Z6" s="28" t="s">
        <v>11</v>
      </c>
      <c r="AA6" s="1"/>
      <c r="AB6" s="28"/>
      <c r="AC6" s="1"/>
      <c r="AD6" s="1"/>
      <c r="AE6" s="34">
        <v>3.4848484848484844E-2</v>
      </c>
      <c r="AF6" s="28" t="s">
        <v>11</v>
      </c>
      <c r="AG6" s="31">
        <v>0.12</v>
      </c>
      <c r="AH6" s="28"/>
      <c r="AI6" s="34"/>
      <c r="AJ6" s="28"/>
      <c r="AK6" s="31"/>
      <c r="AL6" s="28"/>
      <c r="AM6" s="28"/>
      <c r="AN6" s="28"/>
      <c r="AO6" s="28"/>
      <c r="AP6" s="28"/>
      <c r="AQ6" s="28"/>
      <c r="AR6" s="28"/>
      <c r="AS6" s="28"/>
      <c r="AT6" s="28"/>
      <c r="AU6" s="30">
        <v>0.5163860830527498</v>
      </c>
      <c r="AV6" s="28" t="s">
        <v>11</v>
      </c>
      <c r="AW6" s="31"/>
      <c r="AX6" s="1"/>
      <c r="AY6" s="55">
        <f>0.85*133.25%</f>
        <v>1.132625</v>
      </c>
      <c r="AZ6" s="28" t="s">
        <v>11</v>
      </c>
      <c r="BA6" s="21">
        <v>9.7999999999999997E-3</v>
      </c>
      <c r="BB6" s="28" t="s">
        <v>11</v>
      </c>
      <c r="BC6" s="21">
        <v>1.0200000000000001E-2</v>
      </c>
      <c r="BD6" s="28" t="s">
        <v>36</v>
      </c>
      <c r="BE6" s="25"/>
      <c r="BF6" s="28"/>
      <c r="BG6" s="1"/>
      <c r="BH6" s="1"/>
      <c r="BI6" s="148">
        <f>100%-BC6-BA6-AU6-AE6-W6</f>
        <v>7.9506172839506117E-2</v>
      </c>
      <c r="BJ6" s="1"/>
      <c r="BK6" s="1"/>
      <c r="BL6" s="47"/>
      <c r="BM6" s="35">
        <f t="shared" si="1"/>
        <v>1</v>
      </c>
    </row>
    <row r="7" spans="2:66" ht="15.5" x14ac:dyDescent="0.35">
      <c r="B7" s="184"/>
      <c r="C7" s="48" t="s">
        <v>7</v>
      </c>
      <c r="D7" s="36">
        <v>1000</v>
      </c>
      <c r="E7" s="40">
        <f>D7*E6</f>
        <v>15</v>
      </c>
      <c r="F7" s="38"/>
      <c r="G7" s="39"/>
      <c r="H7" s="39"/>
      <c r="I7" s="39">
        <f>E7*I6</f>
        <v>15</v>
      </c>
      <c r="J7" s="39"/>
      <c r="K7" s="39"/>
      <c r="L7" s="39"/>
      <c r="M7" s="39"/>
      <c r="N7" s="39"/>
      <c r="O7" s="39"/>
      <c r="P7" s="39"/>
      <c r="Q7" s="39"/>
      <c r="R7" s="42"/>
      <c r="S7" s="40"/>
      <c r="T7" s="41">
        <f t="shared" ref="T7" si="11">(E7-E7/(1+T6))+(F7-F7/(1+T6))</f>
        <v>1.9565217391304337</v>
      </c>
      <c r="U7" s="39"/>
      <c r="V7" s="42">
        <f t="shared" ref="V7" si="12">(E7+F7)/(1+T6)</f>
        <v>13.043478260869566</v>
      </c>
      <c r="W7" s="42">
        <f>V7*W6</f>
        <v>4.5555555555555554</v>
      </c>
      <c r="X7" s="43"/>
      <c r="Y7" s="42">
        <f>W7*Y6</f>
        <v>0.45555555555555555</v>
      </c>
      <c r="Z7" s="43"/>
      <c r="AA7" s="39"/>
      <c r="AB7" s="43"/>
      <c r="AC7" s="39"/>
      <c r="AD7" s="39"/>
      <c r="AE7" s="37">
        <f t="shared" si="4"/>
        <v>0.45454545454545453</v>
      </c>
      <c r="AF7" s="43"/>
      <c r="AG7" s="37">
        <f t="shared" si="5"/>
        <v>5.4545454545454543E-2</v>
      </c>
      <c r="AH7" s="44"/>
      <c r="AI7" s="37"/>
      <c r="AJ7" s="43"/>
      <c r="AK7" s="37"/>
      <c r="AL7" s="39"/>
      <c r="AM7" s="39"/>
      <c r="AN7" s="39"/>
      <c r="AO7" s="39"/>
      <c r="AP7" s="39"/>
      <c r="AQ7" s="39"/>
      <c r="AR7" s="39"/>
      <c r="AS7" s="39"/>
      <c r="AT7" s="39"/>
      <c r="AU7" s="37">
        <f t="shared" ref="AU7" si="13">AU6*V7</f>
        <v>6.735470648514128</v>
      </c>
      <c r="AV7" s="44"/>
      <c r="AW7" s="45"/>
      <c r="AX7" s="46"/>
      <c r="AY7" s="37"/>
      <c r="AZ7" s="43"/>
      <c r="BA7" s="37">
        <f t="shared" ref="BA7" si="14">BA6*V7</f>
        <v>0.12782608695652176</v>
      </c>
      <c r="BB7" s="43"/>
      <c r="BC7" s="37">
        <f t="shared" si="8"/>
        <v>0.1330434782608696</v>
      </c>
      <c r="BD7" s="43"/>
      <c r="BE7" s="39"/>
      <c r="BF7" s="43"/>
      <c r="BG7" s="39"/>
      <c r="BH7" s="39"/>
      <c r="BI7" s="37">
        <f t="shared" si="9"/>
        <v>1.0370370370370363</v>
      </c>
      <c r="BJ7" s="39"/>
      <c r="BK7" s="39"/>
      <c r="BL7" s="47"/>
      <c r="BM7" s="57">
        <f t="shared" si="1"/>
        <v>13.043478260869565</v>
      </c>
      <c r="BN7" s="57">
        <f>BM7-V7</f>
        <v>0</v>
      </c>
    </row>
    <row r="8" spans="2:66" ht="15.5" x14ac:dyDescent="0.35">
      <c r="B8" s="178" t="s">
        <v>84</v>
      </c>
      <c r="C8" s="32" t="s">
        <v>6</v>
      </c>
      <c r="D8" s="8"/>
      <c r="E8" s="21">
        <v>1.4999999999999999E-2</v>
      </c>
      <c r="F8" s="22"/>
      <c r="G8" s="21">
        <v>1</v>
      </c>
      <c r="H8" s="23"/>
      <c r="I8" s="24"/>
      <c r="J8" s="1"/>
      <c r="K8" s="1"/>
      <c r="L8" s="1"/>
      <c r="M8" s="1"/>
      <c r="N8" s="1"/>
      <c r="O8" s="1"/>
      <c r="P8" s="1"/>
      <c r="Q8" s="21"/>
      <c r="R8" s="25"/>
      <c r="S8" s="26"/>
      <c r="T8" s="27">
        <v>0.15</v>
      </c>
      <c r="U8" s="28" t="s">
        <v>11</v>
      </c>
      <c r="V8" s="53">
        <f t="shared" ref="V8" si="15">(E8+F8)/(1+T8)</f>
        <v>1.3043478260869566E-2</v>
      </c>
      <c r="W8" s="33"/>
      <c r="X8" s="28"/>
      <c r="Y8" s="25"/>
      <c r="Z8" s="28"/>
      <c r="AA8" s="1"/>
      <c r="AB8" s="28"/>
      <c r="AC8" s="1"/>
      <c r="AD8" s="1"/>
      <c r="AE8" s="34"/>
      <c r="AF8" s="28"/>
      <c r="AG8" s="31"/>
      <c r="AH8" s="28"/>
      <c r="AI8" s="34"/>
      <c r="AJ8" s="28"/>
      <c r="AK8" s="31"/>
      <c r="AL8" s="28"/>
      <c r="AM8" s="28"/>
      <c r="AN8" s="28"/>
      <c r="AO8" s="28"/>
      <c r="AP8" s="28"/>
      <c r="AQ8" s="28"/>
      <c r="AR8" s="28"/>
      <c r="AS8" s="28"/>
      <c r="AT8" s="28"/>
      <c r="AU8" s="30">
        <v>0.57736447811447811</v>
      </c>
      <c r="AV8" s="28" t="s">
        <v>11</v>
      </c>
      <c r="AW8" s="31"/>
      <c r="AX8" s="1"/>
      <c r="AY8" s="30"/>
      <c r="AZ8" s="28"/>
      <c r="BA8" s="21">
        <v>9.7999999999999997E-3</v>
      </c>
      <c r="BB8" s="28" t="s">
        <v>11</v>
      </c>
      <c r="BC8" s="21">
        <v>1.0200000000000001E-2</v>
      </c>
      <c r="BD8" s="28" t="s">
        <v>36</v>
      </c>
      <c r="BE8" s="25"/>
      <c r="BF8" s="28"/>
      <c r="BG8" s="1"/>
      <c r="BH8" s="1"/>
      <c r="BI8" s="148">
        <f>100%-BC8-BA8-AU8-AE8-W8</f>
        <v>0.40263552188552187</v>
      </c>
      <c r="BJ8" s="1"/>
      <c r="BK8" s="1"/>
      <c r="BM8" s="35">
        <f>W8+AA8+AE8+AI8+AM8+AQ8+AU8+BA8+BC8+BI8</f>
        <v>1</v>
      </c>
    </row>
    <row r="9" spans="2:66" ht="15.5" x14ac:dyDescent="0.35">
      <c r="B9" s="178"/>
      <c r="C9" s="48" t="s">
        <v>6</v>
      </c>
      <c r="D9" s="36">
        <v>1000</v>
      </c>
      <c r="E9" s="40">
        <f>D9*E8</f>
        <v>15</v>
      </c>
      <c r="F9" s="38"/>
      <c r="G9" s="39">
        <f>E9*G8</f>
        <v>15</v>
      </c>
      <c r="H9" s="39"/>
      <c r="I9" s="37"/>
      <c r="J9" s="39"/>
      <c r="K9" s="39"/>
      <c r="L9" s="39"/>
      <c r="M9" s="39"/>
      <c r="N9" s="39"/>
      <c r="O9" s="39"/>
      <c r="P9" s="39"/>
      <c r="Q9" s="39"/>
      <c r="R9" s="39"/>
      <c r="S9" s="40"/>
      <c r="T9" s="41">
        <f>(E9-E9/(1+T8))+(F9-F9/(1+T8))</f>
        <v>1.9565217391304337</v>
      </c>
      <c r="U9" s="39"/>
      <c r="V9" s="42">
        <f t="shared" ref="V9" si="16">(E9+F9)/(1+T8)</f>
        <v>13.043478260869566</v>
      </c>
      <c r="W9" s="42"/>
      <c r="X9" s="43"/>
      <c r="Y9" s="42"/>
      <c r="Z9" s="43"/>
      <c r="AA9" s="39"/>
      <c r="AB9" s="43"/>
      <c r="AC9" s="39"/>
      <c r="AD9" s="39"/>
      <c r="AE9" s="37"/>
      <c r="AF9" s="43"/>
      <c r="AG9" s="37"/>
      <c r="AH9" s="44"/>
      <c r="AI9" s="37"/>
      <c r="AJ9" s="43"/>
      <c r="AK9" s="37"/>
      <c r="AL9" s="39"/>
      <c r="AM9" s="39"/>
      <c r="AN9" s="39"/>
      <c r="AO9" s="39"/>
      <c r="AP9" s="39"/>
      <c r="AQ9" s="39"/>
      <c r="AR9" s="39"/>
      <c r="AS9" s="39"/>
      <c r="AT9" s="39"/>
      <c r="AU9" s="37">
        <f t="shared" ref="AU9" si="17">(E9+F9)/(1+T8)*AU8*(1-AW8)</f>
        <v>7.5308410188844981</v>
      </c>
      <c r="AV9" s="44"/>
      <c r="AW9" s="45"/>
      <c r="AX9" s="46"/>
      <c r="AY9" s="37"/>
      <c r="AZ9" s="43"/>
      <c r="BA9" s="37">
        <f t="shared" ref="BA9:BA11" si="18">(E9+F9)/(1+T8)*BA8</f>
        <v>0.12782608695652176</v>
      </c>
      <c r="BB9" s="43"/>
      <c r="BC9" s="37">
        <f t="shared" ref="BC9" si="19">(E9+F9)/(1+T8)*BC8</f>
        <v>0.1330434782608696</v>
      </c>
      <c r="BD9" s="43"/>
      <c r="BE9" s="39"/>
      <c r="BF9" s="43"/>
      <c r="BG9" s="39"/>
      <c r="BH9" s="39"/>
      <c r="BI9" s="37">
        <f t="shared" ref="BI9" si="20">(E9+F9)/(1+T8)*BI8</f>
        <v>5.2517676767676766</v>
      </c>
      <c r="BJ9" s="39"/>
      <c r="BK9" s="39"/>
      <c r="BL9" s="47"/>
      <c r="BM9" s="57">
        <f t="shared" si="1"/>
        <v>13.043478260869566</v>
      </c>
      <c r="BN9" s="57">
        <f>BM9-V9</f>
        <v>0</v>
      </c>
    </row>
    <row r="10" spans="2:66" ht="15.5" x14ac:dyDescent="0.35">
      <c r="B10" s="178"/>
      <c r="C10" s="32" t="s">
        <v>7</v>
      </c>
      <c r="D10" s="8"/>
      <c r="E10" s="21">
        <v>1.4999999999999999E-2</v>
      </c>
      <c r="F10" s="29"/>
      <c r="G10" s="21">
        <v>1</v>
      </c>
      <c r="H10" s="23"/>
      <c r="I10" s="24"/>
      <c r="J10" s="1"/>
      <c r="K10" s="1"/>
      <c r="L10" s="1"/>
      <c r="M10" s="1"/>
      <c r="N10" s="1"/>
      <c r="O10" s="1"/>
      <c r="P10" s="1"/>
      <c r="Q10" s="21"/>
      <c r="R10" s="25"/>
      <c r="S10" s="56">
        <f>AY10</f>
        <v>1.132625</v>
      </c>
      <c r="T10" s="27">
        <v>0.15</v>
      </c>
      <c r="U10" s="28" t="s">
        <v>11</v>
      </c>
      <c r="V10" s="53">
        <f t="shared" ref="V10" si="21">(E10+F10)/(1+T10)</f>
        <v>1.3043478260869566E-2</v>
      </c>
      <c r="W10" s="33"/>
      <c r="X10" s="28"/>
      <c r="Y10" s="25"/>
      <c r="Z10" s="28"/>
      <c r="AA10" s="1"/>
      <c r="AB10" s="28"/>
      <c r="AC10" s="1"/>
      <c r="AD10" s="1"/>
      <c r="AE10" s="34"/>
      <c r="AF10" s="28"/>
      <c r="AG10" s="31"/>
      <c r="AH10" s="28"/>
      <c r="AI10" s="34"/>
      <c r="AJ10" s="28"/>
      <c r="AK10" s="31"/>
      <c r="AL10" s="28"/>
      <c r="AM10" s="28"/>
      <c r="AN10" s="28"/>
      <c r="AO10" s="28"/>
      <c r="AP10" s="28"/>
      <c r="AQ10" s="28"/>
      <c r="AR10" s="28"/>
      <c r="AS10" s="28"/>
      <c r="AT10" s="28"/>
      <c r="AU10" s="30">
        <v>0.5163860830527498</v>
      </c>
      <c r="AV10" s="28" t="s">
        <v>11</v>
      </c>
      <c r="AW10" s="31"/>
      <c r="AX10" s="1"/>
      <c r="AY10" s="55">
        <f>0.85*133.25%</f>
        <v>1.132625</v>
      </c>
      <c r="AZ10" s="28" t="s">
        <v>11</v>
      </c>
      <c r="BA10" s="21">
        <v>9.7999999999999997E-3</v>
      </c>
      <c r="BB10" s="28" t="s">
        <v>11</v>
      </c>
      <c r="BC10" s="21">
        <v>1.0200000000000001E-2</v>
      </c>
      <c r="BD10" s="28" t="s">
        <v>36</v>
      </c>
      <c r="BE10" s="25"/>
      <c r="BF10" s="28"/>
      <c r="BG10" s="1"/>
      <c r="BH10" s="1"/>
      <c r="BI10" s="148">
        <f>100%-BC10-BA10-AU10-AE10-W10</f>
        <v>0.46361391694725018</v>
      </c>
      <c r="BJ10" s="1"/>
      <c r="BK10" s="1"/>
      <c r="BM10" s="35">
        <f>W10+AA10+AE10+AI10+AM10+AQ10+AU10+BA10+BC10+BI10</f>
        <v>1</v>
      </c>
    </row>
    <row r="11" spans="2:66" ht="15.5" x14ac:dyDescent="0.35">
      <c r="B11" s="178"/>
      <c r="C11" s="48" t="s">
        <v>7</v>
      </c>
      <c r="D11" s="36">
        <v>1000</v>
      </c>
      <c r="E11" s="40">
        <f>D11*E10</f>
        <v>15</v>
      </c>
      <c r="F11" s="38"/>
      <c r="G11" s="39">
        <f>E11*G10</f>
        <v>15</v>
      </c>
      <c r="H11" s="39"/>
      <c r="I11" s="37"/>
      <c r="J11" s="39"/>
      <c r="K11" s="39"/>
      <c r="L11" s="39"/>
      <c r="M11" s="39"/>
      <c r="N11" s="39"/>
      <c r="O11" s="39"/>
      <c r="P11" s="39"/>
      <c r="Q11" s="39"/>
      <c r="R11" s="39"/>
      <c r="S11" s="40"/>
      <c r="T11" s="41">
        <f>(E11-E11/(1+T10))+(F11-F11/(1+T10))</f>
        <v>1.9565217391304337</v>
      </c>
      <c r="U11" s="39"/>
      <c r="V11" s="42">
        <f t="shared" ref="V11" si="22">(E11+F11)/(1+T10)</f>
        <v>13.043478260869566</v>
      </c>
      <c r="W11" s="42"/>
      <c r="X11" s="43"/>
      <c r="Y11" s="42"/>
      <c r="Z11" s="43"/>
      <c r="AA11" s="39"/>
      <c r="AB11" s="43"/>
      <c r="AC11" s="39"/>
      <c r="AD11" s="39"/>
      <c r="AE11" s="37"/>
      <c r="AF11" s="43"/>
      <c r="AG11" s="37"/>
      <c r="AH11" s="44"/>
      <c r="AI11" s="37"/>
      <c r="AJ11" s="43"/>
      <c r="AK11" s="37"/>
      <c r="AL11" s="39"/>
      <c r="AM11" s="39"/>
      <c r="AN11" s="39"/>
      <c r="AO11" s="39"/>
      <c r="AP11" s="39"/>
      <c r="AQ11" s="39"/>
      <c r="AR11" s="39"/>
      <c r="AS11" s="39"/>
      <c r="AT11" s="39"/>
      <c r="AU11" s="37">
        <f t="shared" ref="AU11" si="23">(E11+F11)/(1+T10)*AU10*(1-AW10)</f>
        <v>6.735470648514128</v>
      </c>
      <c r="AV11" s="44"/>
      <c r="AW11" s="45"/>
      <c r="AX11" s="46"/>
      <c r="AY11" s="37"/>
      <c r="AZ11" s="43"/>
      <c r="BA11" s="37">
        <f t="shared" si="18"/>
        <v>0.12782608695652176</v>
      </c>
      <c r="BB11" s="43"/>
      <c r="BC11" s="37">
        <f t="shared" ref="BC11" si="24">(E11+F11)/(1+T10)*BC10</f>
        <v>0.1330434782608696</v>
      </c>
      <c r="BD11" s="43"/>
      <c r="BE11" s="39"/>
      <c r="BF11" s="43"/>
      <c r="BG11" s="39"/>
      <c r="BH11" s="39"/>
      <c r="BI11" s="37">
        <f t="shared" ref="BI11" si="25">(E11+F11)/(1+T10)*BI10</f>
        <v>6.0471380471380467</v>
      </c>
      <c r="BJ11" s="39"/>
      <c r="BK11" s="39"/>
      <c r="BL11" s="50"/>
      <c r="BM11" s="57">
        <f t="shared" si="1"/>
        <v>13.043478260869566</v>
      </c>
      <c r="BN11" s="57">
        <f>BM11-V11</f>
        <v>0</v>
      </c>
    </row>
    <row r="13" spans="2:66" x14ac:dyDescent="0.35">
      <c r="W13" s="57"/>
      <c r="AE13" s="57"/>
    </row>
    <row r="14" spans="2:66" x14ac:dyDescent="0.35">
      <c r="W14" s="57"/>
      <c r="AE14" s="57"/>
    </row>
    <row r="15" spans="2:66" x14ac:dyDescent="0.35">
      <c r="W15" s="57"/>
      <c r="AE15" s="57"/>
    </row>
  </sheetData>
  <mergeCells count="26">
    <mergeCell ref="B8:B11"/>
    <mergeCell ref="W2:Z2"/>
    <mergeCell ref="AA2:AD2"/>
    <mergeCell ref="B2:D2"/>
    <mergeCell ref="B4:B7"/>
    <mergeCell ref="BJ2:BK2"/>
    <mergeCell ref="BA2:BB2"/>
    <mergeCell ref="BC2:BF2"/>
    <mergeCell ref="AU2:AX2"/>
    <mergeCell ref="AI2:AL2"/>
    <mergeCell ref="AM2:AP2"/>
    <mergeCell ref="AQ2:AT2"/>
    <mergeCell ref="AY2:AZ2"/>
    <mergeCell ref="AE2:AH2"/>
    <mergeCell ref="E1:S1"/>
    <mergeCell ref="W1:BH1"/>
    <mergeCell ref="T1:V1"/>
    <mergeCell ref="BG2:BH2"/>
    <mergeCell ref="G2:H2"/>
    <mergeCell ref="I2:J2"/>
    <mergeCell ref="O2:P2"/>
    <mergeCell ref="M2:N2"/>
    <mergeCell ref="E2:F2"/>
    <mergeCell ref="K2:L2"/>
    <mergeCell ref="Q2:S2"/>
    <mergeCell ref="T2:U2"/>
  </mergeCells>
  <pageMargins left="0.7" right="0.7" top="0.75" bottom="0.75" header="0.3" footer="0.3"/>
  <pageSetup orientation="portrait" horizontalDpi="4294967295" verticalDpi="4294967295" r:id="rId1"/>
  <ignoredErrors>
    <ignoredError sqref="V9"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W44"/>
  <sheetViews>
    <sheetView showGridLines="0" topLeftCell="D1" workbookViewId="0">
      <selection activeCell="N15" activeCellId="2" sqref="N8 N10 N15"/>
    </sheetView>
  </sheetViews>
  <sheetFormatPr defaultColWidth="9.1796875" defaultRowHeight="11.5" x14ac:dyDescent="0.35"/>
  <cols>
    <col min="1" max="3" width="0" style="58" hidden="1" customWidth="1"/>
    <col min="4" max="4" width="8" style="58" bestFit="1"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7.81640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16384" width="9.1796875" style="58"/>
  </cols>
  <sheetData>
    <row r="1" spans="4:23" ht="12" thickBot="1" x14ac:dyDescent="0.4"/>
    <row r="2" spans="4:23" ht="15" customHeight="1" thickBot="1" x14ac:dyDescent="0.4">
      <c r="E2" s="59"/>
      <c r="F2" s="187" t="s">
        <v>6</v>
      </c>
      <c r="G2" s="188"/>
      <c r="H2" s="188"/>
      <c r="I2" s="188"/>
      <c r="J2" s="188"/>
      <c r="K2" s="188"/>
      <c r="L2" s="189"/>
      <c r="M2" s="60"/>
      <c r="N2" s="187" t="s">
        <v>7</v>
      </c>
      <c r="O2" s="188"/>
      <c r="P2" s="188"/>
      <c r="Q2" s="188"/>
      <c r="R2" s="188"/>
      <c r="S2" s="188"/>
      <c r="T2" s="189"/>
    </row>
    <row r="3" spans="4:23" ht="12.5" thickBot="1" x14ac:dyDescent="0.4">
      <c r="E3" s="61" t="s">
        <v>52</v>
      </c>
      <c r="F3" s="62"/>
      <c r="G3" s="63">
        <v>1.4999999999999999E-2</v>
      </c>
      <c r="H3" s="59"/>
      <c r="I3" s="59"/>
      <c r="J3" s="64"/>
      <c r="K3" s="59"/>
      <c r="L3" s="59"/>
      <c r="M3" s="65"/>
      <c r="N3" s="62"/>
      <c r="O3" s="63">
        <f>G3</f>
        <v>1.4999999999999999E-2</v>
      </c>
      <c r="P3" s="59"/>
      <c r="Q3" s="59"/>
      <c r="R3" s="64"/>
      <c r="S3" s="62"/>
      <c r="T3" s="64"/>
    </row>
    <row r="4" spans="4:23" ht="12.65" customHeight="1" thickBot="1" x14ac:dyDescent="0.4">
      <c r="E4" s="66" t="s">
        <v>12</v>
      </c>
      <c r="F4" s="67">
        <v>0.15</v>
      </c>
      <c r="G4" s="68">
        <f>G3-G5</f>
        <v>1.9565217391304332E-3</v>
      </c>
      <c r="H4" s="59"/>
      <c r="I4" s="69"/>
      <c r="J4" s="59"/>
      <c r="K4" s="190" t="s">
        <v>53</v>
      </c>
      <c r="L4" s="191"/>
      <c r="M4" s="70"/>
      <c r="N4" s="67">
        <v>0.15</v>
      </c>
      <c r="O4" s="68">
        <f>O3-O5</f>
        <v>1.9565217391304332E-3</v>
      </c>
      <c r="P4" s="59"/>
      <c r="Q4" s="59"/>
      <c r="R4" s="59"/>
      <c r="S4" s="190" t="s">
        <v>53</v>
      </c>
      <c r="T4" s="192"/>
    </row>
    <row r="5" spans="4:23" ht="12" x14ac:dyDescent="0.35">
      <c r="E5" s="59"/>
      <c r="F5" s="71"/>
      <c r="G5" s="68">
        <f>G3/(1+F4)</f>
        <v>1.3043478260869566E-2</v>
      </c>
      <c r="H5" s="72"/>
      <c r="I5" s="59"/>
      <c r="J5" s="59"/>
      <c r="K5" s="73"/>
      <c r="L5" s="74"/>
      <c r="M5" s="75"/>
      <c r="N5" s="76"/>
      <c r="O5" s="68">
        <f>O3/(1+N4)</f>
        <v>1.3043478260869566E-2</v>
      </c>
      <c r="P5" s="59"/>
      <c r="Q5" s="59"/>
      <c r="R5" s="59"/>
      <c r="S5" s="73"/>
      <c r="T5" s="74"/>
    </row>
    <row r="6" spans="4:23" ht="12" x14ac:dyDescent="0.35">
      <c r="E6" s="59"/>
      <c r="F6" s="62"/>
      <c r="G6" s="59"/>
      <c r="H6" s="59"/>
      <c r="I6" s="59"/>
      <c r="J6" s="59"/>
      <c r="K6" s="77">
        <v>1000</v>
      </c>
      <c r="L6" s="78">
        <v>4000</v>
      </c>
      <c r="M6" s="79"/>
      <c r="N6" s="59"/>
      <c r="O6" s="59"/>
      <c r="P6" s="59"/>
      <c r="Q6" s="59"/>
      <c r="R6" s="59"/>
      <c r="S6" s="77">
        <v>1000</v>
      </c>
      <c r="T6" s="78">
        <v>2700</v>
      </c>
    </row>
    <row r="7" spans="4: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4:23" ht="12" x14ac:dyDescent="0.35">
      <c r="E8" s="85" t="s">
        <v>59</v>
      </c>
      <c r="F8" s="86">
        <v>0</v>
      </c>
      <c r="G8" s="87">
        <f>F8*G5</f>
        <v>0</v>
      </c>
      <c r="H8" s="86">
        <v>0.1</v>
      </c>
      <c r="I8" s="87">
        <f>G8*H8</f>
        <v>0</v>
      </c>
      <c r="J8" s="87">
        <f>G8-I8</f>
        <v>0</v>
      </c>
      <c r="K8" s="88">
        <f>J8*K6</f>
        <v>0</v>
      </c>
      <c r="L8" s="89">
        <f>J8*L6</f>
        <v>0</v>
      </c>
      <c r="M8" s="90"/>
      <c r="N8" s="86">
        <v>0</v>
      </c>
      <c r="O8" s="87">
        <f>N8*O5</f>
        <v>0</v>
      </c>
      <c r="P8" s="86">
        <v>0.1</v>
      </c>
      <c r="Q8" s="87">
        <f>O8*P8</f>
        <v>0</v>
      </c>
      <c r="R8" s="87">
        <f>O8-Q8</f>
        <v>0</v>
      </c>
      <c r="S8" s="88">
        <f>R8*S6</f>
        <v>0</v>
      </c>
      <c r="T8" s="89">
        <f>R8*T6</f>
        <v>0</v>
      </c>
      <c r="V8" s="91"/>
      <c r="W8" s="92"/>
    </row>
    <row r="9" spans="4:23" ht="12" x14ac:dyDescent="0.35">
      <c r="D9" s="149">
        <f>4.1/1000/0.9/$G$5</f>
        <v>0.34925925925925916</v>
      </c>
      <c r="E9" s="93" t="s">
        <v>60</v>
      </c>
      <c r="F9" s="94">
        <v>0.3492592592592591</v>
      </c>
      <c r="G9" s="68">
        <f>F9*G5</f>
        <v>4.555555555555554E-3</v>
      </c>
      <c r="H9" s="94">
        <v>0.1</v>
      </c>
      <c r="I9" s="68">
        <f>G9*H9</f>
        <v>4.555555555555554E-4</v>
      </c>
      <c r="J9" s="68">
        <f>G9-I9</f>
        <v>4.0999999999999986E-3</v>
      </c>
      <c r="K9" s="95">
        <f>J9*K6</f>
        <v>4.0999999999999988</v>
      </c>
      <c r="L9" s="78">
        <f>J9*L6</f>
        <v>16.399999999999995</v>
      </c>
      <c r="M9" s="96"/>
      <c r="N9" s="94">
        <v>0.34925925925925921</v>
      </c>
      <c r="O9" s="68">
        <f>N9*O5</f>
        <v>4.5555555555555557E-3</v>
      </c>
      <c r="P9" s="94">
        <v>0.1</v>
      </c>
      <c r="Q9" s="68">
        <f>O9*P9</f>
        <v>4.5555555555555562E-4</v>
      </c>
      <c r="R9" s="68">
        <f>O9-Q9</f>
        <v>4.1000000000000003E-3</v>
      </c>
      <c r="S9" s="95">
        <f>R9*S6</f>
        <v>4.1000000000000005</v>
      </c>
      <c r="T9" s="78">
        <f>R9*T6</f>
        <v>11.07</v>
      </c>
      <c r="U9" s="149">
        <f>4.1/1000/0.9/$O$5</f>
        <v>0.34925925925925916</v>
      </c>
      <c r="V9" s="135">
        <f t="shared" ref="V9" si="0">F9/K9*4.1</f>
        <v>0.34925925925925916</v>
      </c>
      <c r="W9" s="135">
        <f t="shared" ref="W9" si="1">N9/S9*4.1</f>
        <v>0.34925925925925916</v>
      </c>
    </row>
    <row r="10" spans="4:23" ht="12" x14ac:dyDescent="0.35">
      <c r="D10" s="150">
        <v>0</v>
      </c>
      <c r="E10" s="93" t="s">
        <v>61</v>
      </c>
      <c r="F10" s="94">
        <v>0</v>
      </c>
      <c r="G10" s="68">
        <f>F10*G5</f>
        <v>0</v>
      </c>
      <c r="H10" s="94">
        <v>0.12</v>
      </c>
      <c r="I10" s="68">
        <f>G10*H10</f>
        <v>0</v>
      </c>
      <c r="J10" s="68">
        <f>G10-I10</f>
        <v>0</v>
      </c>
      <c r="K10" s="95">
        <f>J10*K6</f>
        <v>0</v>
      </c>
      <c r="L10" s="78">
        <f>J10*L6</f>
        <v>0</v>
      </c>
      <c r="M10" s="96"/>
      <c r="N10" s="94">
        <v>0</v>
      </c>
      <c r="O10" s="68">
        <f>N10*O5</f>
        <v>0</v>
      </c>
      <c r="P10" s="94">
        <v>0.12</v>
      </c>
      <c r="Q10" s="68">
        <f>O10*P10</f>
        <v>0</v>
      </c>
      <c r="R10" s="68">
        <f>O10-Q10</f>
        <v>0</v>
      </c>
      <c r="S10" s="95">
        <f>R10*S6</f>
        <v>0</v>
      </c>
      <c r="T10" s="78">
        <f>R10*T6</f>
        <v>0</v>
      </c>
      <c r="U10" s="150">
        <v>0</v>
      </c>
      <c r="V10" s="135"/>
      <c r="W10" s="135"/>
    </row>
    <row r="11" spans="4:23" ht="12" x14ac:dyDescent="0.35">
      <c r="D11" s="149">
        <f>0.4/1000/0.88/$G$5</f>
        <v>3.4848484848484844E-2</v>
      </c>
      <c r="E11" s="93" t="s">
        <v>62</v>
      </c>
      <c r="F11" s="94">
        <v>3.4848484848484844E-2</v>
      </c>
      <c r="G11" s="68">
        <f>F11*G5</f>
        <v>4.5454545454545455E-4</v>
      </c>
      <c r="H11" s="94">
        <v>0.12</v>
      </c>
      <c r="I11" s="68">
        <f>G11*H11</f>
        <v>5.4545454545454546E-5</v>
      </c>
      <c r="J11" s="68">
        <f>G11-I11</f>
        <v>4.0000000000000002E-4</v>
      </c>
      <c r="K11" s="95">
        <f>J11*K6</f>
        <v>0.4</v>
      </c>
      <c r="L11" s="78">
        <f>J11*L6</f>
        <v>1.6</v>
      </c>
      <c r="M11" s="96"/>
      <c r="N11" s="94">
        <v>3.4848484848484844E-2</v>
      </c>
      <c r="O11" s="68">
        <f>N11*O5</f>
        <v>4.5454545454545455E-4</v>
      </c>
      <c r="P11" s="94">
        <v>0.12</v>
      </c>
      <c r="Q11" s="68">
        <f>O11*P11</f>
        <v>5.4545454545454546E-5</v>
      </c>
      <c r="R11" s="68">
        <f>O11-Q11</f>
        <v>4.0000000000000002E-4</v>
      </c>
      <c r="S11" s="95">
        <f>R11*S6</f>
        <v>0.4</v>
      </c>
      <c r="T11" s="78">
        <f>R11*T6</f>
        <v>1.08</v>
      </c>
      <c r="U11" s="149">
        <f>0.4/1000/0.88/$O$5</f>
        <v>3.4848484848484844E-2</v>
      </c>
      <c r="V11" s="135">
        <f>F11/K11*0.4</f>
        <v>3.4848484848484844E-2</v>
      </c>
      <c r="W11" s="135">
        <f>N11/S11*0.4</f>
        <v>3.4848484848484844E-2</v>
      </c>
    </row>
    <row r="12" spans="4:23" ht="12" x14ac:dyDescent="0.3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c r="V12" s="135"/>
      <c r="W12" s="135"/>
    </row>
    <row r="13" spans="4:23" ht="12" x14ac:dyDescent="0.35">
      <c r="E13" s="98" t="s">
        <v>64</v>
      </c>
      <c r="F13" s="99">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c r="V13" s="135"/>
      <c r="W13" s="135"/>
    </row>
    <row r="14" spans="4:23" ht="12" x14ac:dyDescent="0.35">
      <c r="E14" s="98" t="s">
        <v>65</v>
      </c>
      <c r="F14" s="104">
        <f>1-SUM(F8:F13)-F15</f>
        <v>0.57736447811447833</v>
      </c>
      <c r="G14" s="100">
        <f>F14*G5</f>
        <v>7.5308410188845007E-3</v>
      </c>
      <c r="H14" s="99"/>
      <c r="I14" s="101"/>
      <c r="J14" s="99">
        <f>G14</f>
        <v>7.5308410188845007E-3</v>
      </c>
      <c r="K14" s="102">
        <f>J14*K6</f>
        <v>7.5308410188845007</v>
      </c>
      <c r="L14" s="103">
        <f>J14*L6</f>
        <v>30.123364075538003</v>
      </c>
      <c r="M14" s="96"/>
      <c r="N14" s="104">
        <f>1-SUM(N8:N13)-N15</f>
        <v>0.5163860830527498</v>
      </c>
      <c r="O14" s="100">
        <f>N14*O5</f>
        <v>6.7354706485141282E-3</v>
      </c>
      <c r="P14" s="99"/>
      <c r="Q14" s="101"/>
      <c r="R14" s="99">
        <f>O14</f>
        <v>6.7354706485141282E-3</v>
      </c>
      <c r="S14" s="102">
        <f>R14*S6</f>
        <v>6.735470648514128</v>
      </c>
      <c r="T14" s="103">
        <f>R14*T6</f>
        <v>18.185770750988144</v>
      </c>
      <c r="V14" s="135"/>
      <c r="W14" s="135"/>
    </row>
    <row r="15" spans="4:23" ht="12.5" thickBot="1" x14ac:dyDescent="0.4">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135">
        <f>F15/L15*0.58</f>
        <v>1.1116666666666665E-2</v>
      </c>
      <c r="W15" s="135">
        <f>N15/T15*1.68</f>
        <v>4.77037037037037E-2</v>
      </c>
    </row>
    <row r="16" spans="4:23" ht="12.5" thickBot="1" x14ac:dyDescent="0.4">
      <c r="E16" s="59"/>
      <c r="F16" s="113">
        <f>SUM(F8:F15)</f>
        <v>1</v>
      </c>
      <c r="G16" s="114">
        <f>SUM(G8:G15)</f>
        <v>1.3043478260869568E-2</v>
      </c>
      <c r="H16" s="115"/>
      <c r="I16" s="59"/>
      <c r="J16" s="114">
        <f>SUM(J8:J15)</f>
        <v>1.2533377250768557E-2</v>
      </c>
      <c r="K16" s="116">
        <f>SUM(K8:K15)</f>
        <v>12.533377250768559</v>
      </c>
      <c r="L16" s="59"/>
      <c r="M16" s="59"/>
      <c r="N16" s="113">
        <f>SUM(N8:N15)</f>
        <v>1</v>
      </c>
      <c r="O16" s="114">
        <f>SUM(O8:O15)</f>
        <v>1.3043478260869566E-2</v>
      </c>
      <c r="P16" s="59"/>
      <c r="Q16" s="59"/>
      <c r="R16" s="114">
        <f>SUM(R8:R15)</f>
        <v>1.2533377250768557E-2</v>
      </c>
      <c r="S16" s="116">
        <f>SUM(S8:S15)</f>
        <v>12.533377250768558</v>
      </c>
      <c r="T16" s="59"/>
    </row>
    <row r="17" spans="3:22" ht="23" hidden="1" x14ac:dyDescent="0.35">
      <c r="J17" s="58" t="s">
        <v>66</v>
      </c>
    </row>
    <row r="18" spans="3:22" hidden="1" x14ac:dyDescent="0.35">
      <c r="C18" s="117"/>
      <c r="D18" s="117"/>
      <c r="J18" s="58">
        <v>4.3</v>
      </c>
      <c r="K18" s="92"/>
      <c r="S18" s="92">
        <f>S14+S13+0.21+0.21+0.75</f>
        <v>8.0332967354706497</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3"/>
      <c r="F23" s="193"/>
      <c r="G23" s="121"/>
      <c r="J23" s="118"/>
      <c r="K23" s="122"/>
      <c r="O23" s="123"/>
      <c r="U23" s="124"/>
      <c r="V23" s="125"/>
    </row>
    <row r="24" spans="3:22" ht="15" customHeight="1" thickBot="1" x14ac:dyDescent="0.4">
      <c r="E24" s="126" t="s">
        <v>67</v>
      </c>
      <c r="G24" s="127"/>
      <c r="H24" s="128"/>
      <c r="K24" s="129">
        <f>K13+K14</f>
        <v>7.6586671058410225</v>
      </c>
      <c r="O24" s="123"/>
      <c r="Q24" s="92"/>
      <c r="S24" s="130">
        <f>S13+S14</f>
        <v>6.8632967354706498</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4" t="s">
        <v>68</v>
      </c>
      <c r="H26" s="195"/>
      <c r="I26" s="195"/>
      <c r="J26" s="196"/>
      <c r="K26" s="134">
        <f>(K24*0.54)+(S24*0.46)</f>
        <v>7.2927967354706507</v>
      </c>
      <c r="L26" s="135"/>
      <c r="N26" s="92"/>
      <c r="O26" s="123"/>
      <c r="S26" s="132"/>
    </row>
    <row r="27" spans="3:22" x14ac:dyDescent="0.35">
      <c r="G27" s="136"/>
      <c r="L27" s="124"/>
    </row>
    <row r="28" spans="3:22" ht="12" thickBot="1" x14ac:dyDescent="0.4">
      <c r="G28" s="136"/>
      <c r="L28" s="124"/>
    </row>
    <row r="29" spans="3:22" ht="33.65" customHeight="1" thickBot="1" x14ac:dyDescent="0.4">
      <c r="F29" s="185" t="s">
        <v>69</v>
      </c>
      <c r="G29" s="186"/>
      <c r="L29" s="124"/>
    </row>
    <row r="30" spans="3:22" ht="24.5" thickBot="1" x14ac:dyDescent="0.4">
      <c r="F30" s="59" t="s">
        <v>70</v>
      </c>
      <c r="G30" s="116">
        <f>SUM(K8:K11)</f>
        <v>4.4999999999999991</v>
      </c>
      <c r="H30" s="116"/>
      <c r="I30" s="59"/>
      <c r="J30" s="116"/>
      <c r="L30" s="133"/>
      <c r="N30" s="133"/>
      <c r="O30" s="133"/>
    </row>
    <row r="31" spans="3:22" ht="24.5" thickBot="1" x14ac:dyDescent="0.4">
      <c r="F31" s="59" t="s">
        <v>71</v>
      </c>
      <c r="G31" s="137">
        <f>G30/11.5</f>
        <v>0.39130434782608686</v>
      </c>
      <c r="H31" s="59"/>
      <c r="I31" s="59"/>
      <c r="J31" s="59"/>
      <c r="L31" s="92"/>
      <c r="N31" s="92"/>
      <c r="P31" s="92"/>
    </row>
    <row r="32" spans="3:22" ht="12.5" thickBot="1" x14ac:dyDescent="0.4">
      <c r="F32" s="59" t="s">
        <v>72</v>
      </c>
      <c r="G32" s="116">
        <f>11.5-G30</f>
        <v>7.0000000000000009</v>
      </c>
      <c r="H32" s="59"/>
      <c r="I32" s="59"/>
      <c r="J32" s="116"/>
      <c r="L32" s="133"/>
      <c r="N32" s="92"/>
    </row>
    <row r="33" spans="6:19" ht="24.5" thickBot="1" x14ac:dyDescent="0.4">
      <c r="F33" s="59" t="s">
        <v>73</v>
      </c>
      <c r="G33" s="137">
        <f>G32/11.5</f>
        <v>0.60869565217391308</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4.8000000000000007</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C1:W44"/>
  <sheetViews>
    <sheetView showGridLines="0" topLeftCell="D1" workbookViewId="0">
      <selection activeCell="N15" activeCellId="2" sqref="N8 N10 N15"/>
    </sheetView>
  </sheetViews>
  <sheetFormatPr defaultColWidth="9.1796875" defaultRowHeight="11.5" x14ac:dyDescent="0.35"/>
  <cols>
    <col min="1" max="3" width="0" style="58" hidden="1" customWidth="1"/>
    <col min="4" max="4" width="8" style="58" bestFit="1" customWidth="1"/>
    <col min="5" max="5" width="10.453125" style="58" customWidth="1"/>
    <col min="6" max="6" width="10.7265625" style="58" bestFit="1" customWidth="1"/>
    <col min="7" max="7" width="7.81640625" style="58" customWidth="1"/>
    <col min="8" max="8" width="7.7265625" style="58" customWidth="1"/>
    <col min="9" max="9" width="7.453125" style="58" customWidth="1"/>
    <col min="10" max="10" width="7.54296875" style="58" customWidth="1"/>
    <col min="11" max="11" width="7.81640625" style="58" customWidth="1"/>
    <col min="12" max="12" width="8.7265625" style="58" bestFit="1" customWidth="1"/>
    <col min="13" max="13" width="2.26953125" style="58" customWidth="1"/>
    <col min="14" max="14" width="9.54296875" style="58" customWidth="1"/>
    <col min="15" max="15" width="11.7265625" style="58" bestFit="1" customWidth="1"/>
    <col min="16" max="16" width="8.453125" style="58" customWidth="1"/>
    <col min="17" max="17" width="7.54296875" style="58" customWidth="1"/>
    <col min="18" max="18" width="8.26953125" style="58" customWidth="1"/>
    <col min="19" max="19" width="7.54296875" style="58" customWidth="1"/>
    <col min="20" max="20" width="8.453125" style="58" customWidth="1"/>
    <col min="21" max="21" width="14.54296875" style="58" bestFit="1" customWidth="1"/>
    <col min="22" max="22" width="9.1796875" style="58"/>
    <col min="23" max="23" width="11.453125" style="58" bestFit="1" customWidth="1"/>
    <col min="24" max="16384" width="9.1796875" style="58"/>
  </cols>
  <sheetData>
    <row r="1" spans="4:23" ht="12" thickBot="1" x14ac:dyDescent="0.4"/>
    <row r="2" spans="4:23" ht="15" customHeight="1" thickBot="1" x14ac:dyDescent="0.4">
      <c r="E2" s="59"/>
      <c r="F2" s="187" t="s">
        <v>6</v>
      </c>
      <c r="G2" s="188"/>
      <c r="H2" s="188"/>
      <c r="I2" s="188"/>
      <c r="J2" s="188"/>
      <c r="K2" s="188"/>
      <c r="L2" s="189"/>
      <c r="M2" s="60"/>
      <c r="N2" s="187" t="s">
        <v>7</v>
      </c>
      <c r="O2" s="188"/>
      <c r="P2" s="188"/>
      <c r="Q2" s="188"/>
      <c r="R2" s="188"/>
      <c r="S2" s="188"/>
      <c r="T2" s="189"/>
    </row>
    <row r="3" spans="4:23" ht="12.5" thickBot="1" x14ac:dyDescent="0.4">
      <c r="E3" s="61" t="s">
        <v>52</v>
      </c>
      <c r="F3" s="62"/>
      <c r="G3" s="63">
        <v>1.4999999999999999E-2</v>
      </c>
      <c r="H3" s="59"/>
      <c r="I3" s="59"/>
      <c r="J3" s="64"/>
      <c r="K3" s="59"/>
      <c r="L3" s="59"/>
      <c r="M3" s="65"/>
      <c r="N3" s="62"/>
      <c r="O3" s="63">
        <f>G3</f>
        <v>1.4999999999999999E-2</v>
      </c>
      <c r="P3" s="59"/>
      <c r="Q3" s="59"/>
      <c r="R3" s="64"/>
      <c r="S3" s="62"/>
      <c r="T3" s="64"/>
    </row>
    <row r="4" spans="4:23" ht="12.65" customHeight="1" thickBot="1" x14ac:dyDescent="0.4">
      <c r="E4" s="66" t="s">
        <v>12</v>
      </c>
      <c r="F4" s="67">
        <v>0.15</v>
      </c>
      <c r="G4" s="68">
        <f>G3-G5</f>
        <v>1.9565217391304332E-3</v>
      </c>
      <c r="H4" s="59"/>
      <c r="I4" s="69"/>
      <c r="J4" s="59"/>
      <c r="K4" s="190" t="s">
        <v>53</v>
      </c>
      <c r="L4" s="191"/>
      <c r="M4" s="70"/>
      <c r="N4" s="67">
        <v>0.15</v>
      </c>
      <c r="O4" s="68">
        <f>O3-O5</f>
        <v>1.9565217391304332E-3</v>
      </c>
      <c r="P4" s="59"/>
      <c r="Q4" s="59"/>
      <c r="R4" s="59"/>
      <c r="S4" s="190" t="s">
        <v>53</v>
      </c>
      <c r="T4" s="192"/>
    </row>
    <row r="5" spans="4:23" ht="12" x14ac:dyDescent="0.35">
      <c r="E5" s="59"/>
      <c r="F5" s="71"/>
      <c r="G5" s="68">
        <f>G3/(1+F4)</f>
        <v>1.3043478260869566E-2</v>
      </c>
      <c r="H5" s="72"/>
      <c r="I5" s="59"/>
      <c r="J5" s="59"/>
      <c r="K5" s="73"/>
      <c r="L5" s="74"/>
      <c r="M5" s="75"/>
      <c r="N5" s="76"/>
      <c r="O5" s="68">
        <f>O3/(1+N4)</f>
        <v>1.3043478260869566E-2</v>
      </c>
      <c r="P5" s="59"/>
      <c r="Q5" s="59"/>
      <c r="R5" s="59"/>
      <c r="S5" s="73"/>
      <c r="T5" s="74"/>
    </row>
    <row r="6" spans="4:23" ht="12" x14ac:dyDescent="0.35">
      <c r="E6" s="59"/>
      <c r="F6" s="62"/>
      <c r="G6" s="59"/>
      <c r="H6" s="59"/>
      <c r="I6" s="59"/>
      <c r="J6" s="59"/>
      <c r="K6" s="77">
        <v>1000</v>
      </c>
      <c r="L6" s="78">
        <v>4000</v>
      </c>
      <c r="M6" s="79"/>
      <c r="N6" s="59"/>
      <c r="O6" s="59"/>
      <c r="P6" s="59"/>
      <c r="Q6" s="59"/>
      <c r="R6" s="59"/>
      <c r="S6" s="77">
        <v>1000</v>
      </c>
      <c r="T6" s="78">
        <v>2700</v>
      </c>
    </row>
    <row r="7" spans="4:23" s="84" customFormat="1" ht="51" customHeight="1" thickBot="1" x14ac:dyDescent="0.4">
      <c r="E7" s="80"/>
      <c r="F7" s="81" t="s">
        <v>54</v>
      </c>
      <c r="G7" s="81" t="s">
        <v>55</v>
      </c>
      <c r="H7" s="81" t="s">
        <v>56</v>
      </c>
      <c r="I7" s="81" t="s">
        <v>57</v>
      </c>
      <c r="J7" s="81" t="s">
        <v>58</v>
      </c>
      <c r="K7" s="82"/>
      <c r="L7" s="82"/>
      <c r="M7" s="70"/>
      <c r="N7" s="81" t="s">
        <v>54</v>
      </c>
      <c r="O7" s="81" t="s">
        <v>55</v>
      </c>
      <c r="P7" s="81" t="s">
        <v>56</v>
      </c>
      <c r="Q7" s="81" t="s">
        <v>57</v>
      </c>
      <c r="R7" s="81" t="s">
        <v>58</v>
      </c>
      <c r="S7" s="82"/>
      <c r="T7" s="83"/>
    </row>
    <row r="8" spans="4:23" ht="12" x14ac:dyDescent="0.35">
      <c r="D8" s="149">
        <f>4.1/1000/0.9/$G$5</f>
        <v>0.34925925925925916</v>
      </c>
      <c r="E8" s="85" t="s">
        <v>59</v>
      </c>
      <c r="F8" s="86">
        <v>0.34925925925925921</v>
      </c>
      <c r="G8" s="87">
        <f>F8*G5</f>
        <v>4.5555555555555557E-3</v>
      </c>
      <c r="H8" s="86">
        <v>0.1</v>
      </c>
      <c r="I8" s="87">
        <f>G8*H8</f>
        <v>4.5555555555555562E-4</v>
      </c>
      <c r="J8" s="87">
        <f>G8-I8</f>
        <v>4.1000000000000003E-3</v>
      </c>
      <c r="K8" s="88">
        <f>J8*K6</f>
        <v>4.1000000000000005</v>
      </c>
      <c r="L8" s="89">
        <f>J8*L6</f>
        <v>16.400000000000002</v>
      </c>
      <c r="M8" s="90"/>
      <c r="N8" s="86">
        <v>0.34925925925925921</v>
      </c>
      <c r="O8" s="87">
        <f>N8*O5</f>
        <v>4.5555555555555557E-3</v>
      </c>
      <c r="P8" s="86">
        <v>0.1</v>
      </c>
      <c r="Q8" s="87">
        <f>O8*P8</f>
        <v>4.5555555555555562E-4</v>
      </c>
      <c r="R8" s="87">
        <f>O8-Q8</f>
        <v>4.1000000000000003E-3</v>
      </c>
      <c r="S8" s="88">
        <f>R8*S6</f>
        <v>4.1000000000000005</v>
      </c>
      <c r="T8" s="89">
        <f>R8*T6</f>
        <v>11.07</v>
      </c>
      <c r="U8" s="149">
        <f>4.1/1000/0.9/$O$5</f>
        <v>0.34925925925925916</v>
      </c>
      <c r="V8" s="92">
        <f>F8/K8*4.1</f>
        <v>0.34925925925925916</v>
      </c>
      <c r="W8" s="92">
        <f>N8/S8*4.1</f>
        <v>0.34925925925925916</v>
      </c>
    </row>
    <row r="9" spans="4:23" ht="12" x14ac:dyDescent="0.35">
      <c r="D9" s="150">
        <v>0</v>
      </c>
      <c r="E9" s="93" t="s">
        <v>60</v>
      </c>
      <c r="F9" s="94">
        <v>0</v>
      </c>
      <c r="G9" s="68">
        <f>F9*G5</f>
        <v>0</v>
      </c>
      <c r="H9" s="94">
        <v>0.1</v>
      </c>
      <c r="I9" s="68">
        <f>G9*H9</f>
        <v>0</v>
      </c>
      <c r="J9" s="68">
        <f>G9-I9</f>
        <v>0</v>
      </c>
      <c r="K9" s="95">
        <f>J9*K6</f>
        <v>0</v>
      </c>
      <c r="L9" s="78">
        <f>J9*L6</f>
        <v>0</v>
      </c>
      <c r="M9" s="96"/>
      <c r="N9" s="94">
        <v>0</v>
      </c>
      <c r="O9" s="68">
        <f>N9*O5</f>
        <v>0</v>
      </c>
      <c r="P9" s="94">
        <v>0.1</v>
      </c>
      <c r="Q9" s="68">
        <f>O9*P9</f>
        <v>0</v>
      </c>
      <c r="R9" s="68">
        <f>O9-Q9</f>
        <v>0</v>
      </c>
      <c r="S9" s="95">
        <f>R9*S6</f>
        <v>0</v>
      </c>
      <c r="T9" s="78">
        <f>R9*T6</f>
        <v>0</v>
      </c>
      <c r="U9" s="150">
        <v>0</v>
      </c>
    </row>
    <row r="10" spans="4:23" ht="12" x14ac:dyDescent="0.35">
      <c r="D10" s="149">
        <f>0.4/1000/0.88/$G$5</f>
        <v>3.4848484848484844E-2</v>
      </c>
      <c r="E10" s="93" t="s">
        <v>61</v>
      </c>
      <c r="F10" s="94">
        <v>3.4848484848484844E-2</v>
      </c>
      <c r="G10" s="68">
        <f>F10*G5</f>
        <v>4.5454545454545455E-4</v>
      </c>
      <c r="H10" s="94">
        <v>0.12</v>
      </c>
      <c r="I10" s="68">
        <f>G10*H10</f>
        <v>5.4545454545454546E-5</v>
      </c>
      <c r="J10" s="68">
        <f>G10-I10</f>
        <v>4.0000000000000002E-4</v>
      </c>
      <c r="K10" s="95">
        <f>J10*K6</f>
        <v>0.4</v>
      </c>
      <c r="L10" s="78">
        <f>J10*L6</f>
        <v>1.6</v>
      </c>
      <c r="M10" s="96"/>
      <c r="N10" s="94">
        <v>3.4848484848484844E-2</v>
      </c>
      <c r="O10" s="68">
        <f>N10*O5</f>
        <v>4.5454545454545455E-4</v>
      </c>
      <c r="P10" s="94">
        <v>0.12</v>
      </c>
      <c r="Q10" s="68">
        <f>O10*P10</f>
        <v>5.4545454545454546E-5</v>
      </c>
      <c r="R10" s="68">
        <f>O10-Q10</f>
        <v>4.0000000000000002E-4</v>
      </c>
      <c r="S10" s="95">
        <f>R10*S6</f>
        <v>0.4</v>
      </c>
      <c r="T10" s="78">
        <f>R10*T6</f>
        <v>1.08</v>
      </c>
      <c r="U10" s="149">
        <f>0.4/1000/0.88/$O$5</f>
        <v>3.4848484848484844E-2</v>
      </c>
      <c r="V10" s="92">
        <f>F10/K10*0.4</f>
        <v>3.4848484848484844E-2</v>
      </c>
      <c r="W10" s="92">
        <f>N10/S10*0.4</f>
        <v>3.4848484848484844E-2</v>
      </c>
    </row>
    <row r="11" spans="4:23" ht="12" x14ac:dyDescent="0.35">
      <c r="E11" s="93" t="s">
        <v>62</v>
      </c>
      <c r="F11" s="94">
        <v>0</v>
      </c>
      <c r="G11" s="68">
        <f>F11*G5</f>
        <v>0</v>
      </c>
      <c r="H11" s="94">
        <v>0.12</v>
      </c>
      <c r="I11" s="68">
        <f>G11*H11</f>
        <v>0</v>
      </c>
      <c r="J11" s="68">
        <f>G11-I11</f>
        <v>0</v>
      </c>
      <c r="K11" s="95">
        <f>J11*K6</f>
        <v>0</v>
      </c>
      <c r="L11" s="78">
        <f>J11*L6</f>
        <v>0</v>
      </c>
      <c r="M11" s="96"/>
      <c r="N11" s="94">
        <v>0</v>
      </c>
      <c r="O11" s="68">
        <f>N11*O5</f>
        <v>0</v>
      </c>
      <c r="P11" s="94">
        <v>0.12</v>
      </c>
      <c r="Q11" s="68">
        <f>O11*P11</f>
        <v>0</v>
      </c>
      <c r="R11" s="68">
        <f>O11-Q11</f>
        <v>0</v>
      </c>
      <c r="S11" s="95">
        <f>R11*S6</f>
        <v>0</v>
      </c>
      <c r="T11" s="78">
        <f>R11*T6</f>
        <v>0</v>
      </c>
    </row>
    <row r="12" spans="4:23" ht="12" x14ac:dyDescent="0.35">
      <c r="E12" s="93" t="s">
        <v>63</v>
      </c>
      <c r="F12" s="94">
        <v>1.0200000000000001E-2</v>
      </c>
      <c r="G12" s="68">
        <f>F12*G5</f>
        <v>1.3304347826086958E-4</v>
      </c>
      <c r="H12" s="94"/>
      <c r="I12" s="97"/>
      <c r="J12" s="94">
        <f>G12</f>
        <v>1.3304347826086958E-4</v>
      </c>
      <c r="K12" s="95">
        <f>J12*K6</f>
        <v>0.13304347826086957</v>
      </c>
      <c r="L12" s="78">
        <f>J12*L6</f>
        <v>0.53217391304347827</v>
      </c>
      <c r="M12" s="96"/>
      <c r="N12" s="94">
        <v>1.0200000000000001E-2</v>
      </c>
      <c r="O12" s="68">
        <f>N12*O5</f>
        <v>1.3304347826086958E-4</v>
      </c>
      <c r="P12" s="94"/>
      <c r="Q12" s="97"/>
      <c r="R12" s="94">
        <f>O12</f>
        <v>1.3304347826086958E-4</v>
      </c>
      <c r="S12" s="95">
        <f>R12*S6</f>
        <v>0.13304347826086957</v>
      </c>
      <c r="T12" s="78">
        <f>R12*T6</f>
        <v>0.35921739130434788</v>
      </c>
    </row>
    <row r="13" spans="4:23" ht="15.5" x14ac:dyDescent="0.35">
      <c r="E13" s="98" t="s">
        <v>64</v>
      </c>
      <c r="F13" s="142">
        <v>9.7999999999999997E-3</v>
      </c>
      <c r="G13" s="100">
        <f>F13*G5</f>
        <v>1.2782608695652176E-4</v>
      </c>
      <c r="H13" s="99"/>
      <c r="I13" s="101"/>
      <c r="J13" s="99">
        <f>G13</f>
        <v>1.2782608695652176E-4</v>
      </c>
      <c r="K13" s="102">
        <f>J13*K6</f>
        <v>0.12782608695652176</v>
      </c>
      <c r="L13" s="103">
        <f>J13*L6</f>
        <v>0.51130434782608702</v>
      </c>
      <c r="M13" s="96"/>
      <c r="N13" s="99">
        <v>9.7999999999999997E-3</v>
      </c>
      <c r="O13" s="100">
        <f>N13*O5</f>
        <v>1.2782608695652176E-4</v>
      </c>
      <c r="P13" s="99"/>
      <c r="Q13" s="101"/>
      <c r="R13" s="99">
        <f>O13</f>
        <v>1.2782608695652176E-4</v>
      </c>
      <c r="S13" s="102">
        <f>R13*S6</f>
        <v>0.12782608695652176</v>
      </c>
      <c r="T13" s="103">
        <f>R13*T6</f>
        <v>0.34513043478260874</v>
      </c>
    </row>
    <row r="14" spans="4:23" ht="15.5" x14ac:dyDescent="0.35">
      <c r="E14" s="98" t="s">
        <v>65</v>
      </c>
      <c r="F14" s="143">
        <f>1-SUM(F8:F13)-F15</f>
        <v>0.57736447811447811</v>
      </c>
      <c r="G14" s="100">
        <f>F14*G5</f>
        <v>7.5308410188844981E-3</v>
      </c>
      <c r="H14" s="99"/>
      <c r="I14" s="101"/>
      <c r="J14" s="99">
        <f>G14</f>
        <v>7.5308410188844981E-3</v>
      </c>
      <c r="K14" s="102">
        <f>J14*K6</f>
        <v>7.5308410188844981</v>
      </c>
      <c r="L14" s="103">
        <f>J14*L6</f>
        <v>30.123364075537992</v>
      </c>
      <c r="M14" s="96"/>
      <c r="N14" s="104">
        <f>1-SUM(N8:N13)-N15</f>
        <v>0.5163860830527498</v>
      </c>
      <c r="O14" s="100">
        <f>N14*O5</f>
        <v>6.7354706485141282E-3</v>
      </c>
      <c r="P14" s="99"/>
      <c r="Q14" s="101"/>
      <c r="R14" s="99">
        <f>O14</f>
        <v>6.7354706485141282E-3</v>
      </c>
      <c r="S14" s="102">
        <f>R14*S6</f>
        <v>6.735470648514128</v>
      </c>
      <c r="T14" s="103">
        <f>R14*T6</f>
        <v>18.185770750988144</v>
      </c>
    </row>
    <row r="15" spans="4:23" ht="12.5" thickBot="1" x14ac:dyDescent="0.4">
      <c r="E15" s="105" t="s">
        <v>1</v>
      </c>
      <c r="F15" s="106">
        <v>1.8527777777777775E-2</v>
      </c>
      <c r="G15" s="107">
        <f>F15*G5</f>
        <v>2.4166666666666664E-4</v>
      </c>
      <c r="H15" s="106"/>
      <c r="I15" s="108"/>
      <c r="J15" s="106">
        <f>G15</f>
        <v>2.4166666666666664E-4</v>
      </c>
      <c r="K15" s="109">
        <f>J15*K6</f>
        <v>0.24166666666666664</v>
      </c>
      <c r="L15" s="110">
        <f>J15*L6</f>
        <v>0.96666666666666656</v>
      </c>
      <c r="M15" s="111"/>
      <c r="N15" s="112">
        <v>7.9506172839506159E-2</v>
      </c>
      <c r="O15" s="107">
        <f>N15*O5</f>
        <v>1.0370370370370368E-3</v>
      </c>
      <c r="P15" s="106"/>
      <c r="Q15" s="108"/>
      <c r="R15" s="106">
        <f>O15</f>
        <v>1.0370370370370368E-3</v>
      </c>
      <c r="S15" s="109">
        <f>R15*S6</f>
        <v>1.0370370370370368</v>
      </c>
      <c r="T15" s="110">
        <f>R15*T6</f>
        <v>2.7999999999999994</v>
      </c>
      <c r="V15" s="92">
        <f>F15/L15*0.58</f>
        <v>1.1116666666666665E-2</v>
      </c>
      <c r="W15" s="92">
        <f>N15/T15*1.68</f>
        <v>4.77037037037037E-2</v>
      </c>
    </row>
    <row r="16" spans="4:23" ht="12.5" thickBot="1" x14ac:dyDescent="0.4">
      <c r="E16" s="59"/>
      <c r="F16" s="113">
        <f>SUM(F8:F15)</f>
        <v>0.99999999999999989</v>
      </c>
      <c r="G16" s="114">
        <f>SUM(G8:G15)</f>
        <v>1.3043478260869566E-2</v>
      </c>
      <c r="H16" s="59"/>
      <c r="I16" s="59"/>
      <c r="J16" s="59"/>
      <c r="K16" s="59"/>
      <c r="L16" s="59"/>
      <c r="M16" s="59"/>
      <c r="N16" s="113">
        <f>SUM(N8:N15)</f>
        <v>1</v>
      </c>
      <c r="O16" s="59"/>
      <c r="P16" s="59"/>
      <c r="Q16" s="59"/>
      <c r="R16" s="59"/>
      <c r="S16" s="59"/>
      <c r="T16" s="59"/>
    </row>
    <row r="17" spans="3:22" ht="23" hidden="1" x14ac:dyDescent="0.35">
      <c r="J17" s="58" t="s">
        <v>66</v>
      </c>
    </row>
    <row r="18" spans="3:22" hidden="1" x14ac:dyDescent="0.35">
      <c r="C18" s="117"/>
      <c r="D18" s="117"/>
      <c r="J18" s="58">
        <v>4.3</v>
      </c>
      <c r="K18" s="92"/>
      <c r="S18" s="92">
        <f>S14+S13+0.21+0.21+0.75</f>
        <v>8.0332967354706497</v>
      </c>
    </row>
    <row r="19" spans="3:22" ht="12" hidden="1" thickBot="1" x14ac:dyDescent="0.4">
      <c r="F19" s="118"/>
      <c r="G19" s="118"/>
      <c r="H19" s="118">
        <v>4.1000000000000002E-2</v>
      </c>
      <c r="I19" s="118"/>
      <c r="J19" s="118"/>
      <c r="K19" s="119"/>
      <c r="L19" s="118"/>
      <c r="M19" s="118"/>
      <c r="N19" s="118"/>
      <c r="O19" s="118"/>
      <c r="P19" s="118"/>
      <c r="Q19" s="118"/>
      <c r="R19" s="118"/>
    </row>
    <row r="20" spans="3:22" hidden="1" x14ac:dyDescent="0.35">
      <c r="F20" s="118"/>
      <c r="G20" s="118"/>
      <c r="H20" s="118"/>
      <c r="I20" s="118"/>
      <c r="J20" s="118"/>
      <c r="K20" s="118"/>
      <c r="L20" s="118"/>
      <c r="M20" s="118"/>
      <c r="N20" s="118"/>
      <c r="O20" s="118"/>
      <c r="P20" s="118"/>
      <c r="Q20" s="118"/>
      <c r="R20" s="118"/>
    </row>
    <row r="21" spans="3:22" hidden="1" x14ac:dyDescent="0.35">
      <c r="H21" s="58">
        <f>1.41*0.8</f>
        <v>1.1279999999999999</v>
      </c>
    </row>
    <row r="22" spans="3:22" hidden="1" x14ac:dyDescent="0.35">
      <c r="H22" s="120"/>
    </row>
    <row r="23" spans="3:22" ht="15" customHeight="1" thickBot="1" x14ac:dyDescent="0.4">
      <c r="E23" s="193"/>
      <c r="F23" s="193"/>
      <c r="G23" s="121"/>
      <c r="K23" s="144"/>
      <c r="O23" s="123"/>
      <c r="U23" s="124"/>
      <c r="V23" s="125"/>
    </row>
    <row r="24" spans="3:22" ht="15" customHeight="1" thickBot="1" x14ac:dyDescent="0.4">
      <c r="E24" s="126" t="s">
        <v>67</v>
      </c>
      <c r="G24" s="127"/>
      <c r="H24" s="128"/>
      <c r="K24" s="129">
        <f>K13+K14</f>
        <v>7.6586671058410198</v>
      </c>
      <c r="O24" s="123"/>
      <c r="Q24" s="92"/>
      <c r="S24" s="130">
        <f>S13+S14</f>
        <v>6.8632967354706498</v>
      </c>
      <c r="U24" s="92"/>
      <c r="V24" s="92">
        <f>U24/12.5</f>
        <v>0</v>
      </c>
    </row>
    <row r="25" spans="3:22" ht="15" customHeight="1" thickBot="1" x14ac:dyDescent="0.4">
      <c r="E25" s="117"/>
      <c r="G25" s="127"/>
      <c r="H25" s="128"/>
      <c r="K25" s="131"/>
      <c r="O25" s="123"/>
      <c r="S25" s="132"/>
      <c r="U25" s="133"/>
    </row>
    <row r="26" spans="3:22" ht="40" customHeight="1" thickBot="1" x14ac:dyDescent="0.4">
      <c r="E26" s="117"/>
      <c r="G26" s="194" t="s">
        <v>68</v>
      </c>
      <c r="H26" s="195"/>
      <c r="I26" s="195"/>
      <c r="J26" s="196"/>
      <c r="K26" s="134">
        <f>(K24*0.54)+(S24*0.46)</f>
        <v>7.2927967354706507</v>
      </c>
      <c r="L26" s="135"/>
      <c r="N26" s="134">
        <f>(L15*0.54)+(T15*0.46)</f>
        <v>1.8099999999999998</v>
      </c>
      <c r="O26" s="145">
        <f>N26/L6</f>
        <v>4.5249999999999994E-4</v>
      </c>
      <c r="S26" s="132"/>
    </row>
    <row r="27" spans="3:22" x14ac:dyDescent="0.35">
      <c r="G27" s="136"/>
      <c r="L27" s="124"/>
    </row>
    <row r="28" spans="3:22" ht="12" thickBot="1" x14ac:dyDescent="0.4">
      <c r="G28" s="136"/>
      <c r="L28" s="124"/>
    </row>
    <row r="29" spans="3:22" ht="33.65" customHeight="1" thickBot="1" x14ac:dyDescent="0.4">
      <c r="F29" s="185" t="s">
        <v>69</v>
      </c>
      <c r="G29" s="186"/>
      <c r="L29" s="124"/>
    </row>
    <row r="30" spans="3:22" ht="24.5" thickBot="1" x14ac:dyDescent="0.4">
      <c r="F30" s="59" t="s">
        <v>70</v>
      </c>
      <c r="G30" s="116">
        <f>SUM(K8:K11)</f>
        <v>4.5000000000000009</v>
      </c>
      <c r="H30" s="116"/>
      <c r="I30" s="59"/>
      <c r="J30" s="116"/>
      <c r="L30" s="133"/>
      <c r="N30" s="146"/>
      <c r="O30" s="124"/>
      <c r="Q30" s="147"/>
      <c r="R30" s="147"/>
      <c r="S30" s="124"/>
    </row>
    <row r="31" spans="3:22" ht="24.5" thickBot="1" x14ac:dyDescent="0.4">
      <c r="F31" s="59" t="s">
        <v>71</v>
      </c>
      <c r="G31" s="137">
        <f>G30/11.5</f>
        <v>0.39130434782608703</v>
      </c>
      <c r="H31" s="59"/>
      <c r="I31" s="59"/>
      <c r="J31" s="59"/>
      <c r="L31" s="92"/>
      <c r="N31" s="146"/>
      <c r="O31" s="124"/>
      <c r="P31" s="92"/>
      <c r="Q31" s="147"/>
      <c r="R31" s="147"/>
      <c r="S31" s="124"/>
    </row>
    <row r="32" spans="3:22" ht="12.5" thickBot="1" x14ac:dyDescent="0.4">
      <c r="F32" s="59" t="s">
        <v>72</v>
      </c>
      <c r="G32" s="116">
        <f>11.5-G30</f>
        <v>6.9999999999999991</v>
      </c>
      <c r="H32" s="59"/>
      <c r="I32" s="59"/>
      <c r="J32" s="116"/>
      <c r="L32" s="133"/>
      <c r="N32" s="92"/>
      <c r="O32" s="133"/>
      <c r="S32" s="133"/>
    </row>
    <row r="33" spans="6:19" ht="24.5" thickBot="1" x14ac:dyDescent="0.4">
      <c r="F33" s="59" t="s">
        <v>73</v>
      </c>
      <c r="G33" s="137">
        <f>G32/11.5</f>
        <v>0.60869565217391297</v>
      </c>
      <c r="N33" s="132"/>
      <c r="R33" s="124"/>
      <c r="S33" s="133"/>
    </row>
    <row r="34" spans="6:19" ht="36.5" thickBot="1" x14ac:dyDescent="0.4">
      <c r="F34" s="59" t="s">
        <v>74</v>
      </c>
      <c r="G34" s="138">
        <f>1.1*2</f>
        <v>2.2000000000000002</v>
      </c>
      <c r="N34" s="132"/>
      <c r="R34" s="124"/>
      <c r="S34" s="133"/>
    </row>
    <row r="35" spans="6:19" ht="36.5" thickBot="1" x14ac:dyDescent="0.4">
      <c r="F35" s="59" t="s">
        <v>75</v>
      </c>
      <c r="G35" s="139">
        <f>G32-G34</f>
        <v>4.7999999999999989</v>
      </c>
      <c r="N35" s="132"/>
      <c r="R35" s="124"/>
      <c r="S35" s="133"/>
    </row>
    <row r="36" spans="6:19" ht="48.5" thickBot="1" x14ac:dyDescent="0.4">
      <c r="F36" s="59" t="s">
        <v>76</v>
      </c>
      <c r="G36" s="61">
        <v>2</v>
      </c>
      <c r="N36" s="92"/>
      <c r="P36" s="133"/>
    </row>
    <row r="37" spans="6:19" ht="24.5" thickBot="1" x14ac:dyDescent="0.4">
      <c r="F37" s="59" t="s">
        <v>77</v>
      </c>
      <c r="G37" s="140">
        <f>2/11.5</f>
        <v>0.17391304347826086</v>
      </c>
      <c r="N37" s="92"/>
      <c r="P37" s="133"/>
    </row>
    <row r="38" spans="6:19" ht="24.5" thickBot="1" x14ac:dyDescent="0.4">
      <c r="F38" s="59" t="s">
        <v>78</v>
      </c>
      <c r="G38" s="140">
        <f>G36/12.5</f>
        <v>0.16</v>
      </c>
    </row>
    <row r="39" spans="6:19" ht="24.5" thickBot="1" x14ac:dyDescent="0.4">
      <c r="F39" s="59" t="s">
        <v>79</v>
      </c>
      <c r="G39" s="141">
        <v>0.15</v>
      </c>
    </row>
    <row r="40" spans="6:19" x14ac:dyDescent="0.35">
      <c r="I40" s="58">
        <v>3400</v>
      </c>
      <c r="J40" s="58">
        <v>5000</v>
      </c>
      <c r="P40" s="133"/>
    </row>
    <row r="41" spans="6:19" ht="24" x14ac:dyDescent="0.35">
      <c r="F41" s="97" t="s">
        <v>80</v>
      </c>
      <c r="G41" s="97">
        <v>11.5</v>
      </c>
      <c r="H41" s="97">
        <v>12.5</v>
      </c>
    </row>
    <row r="42" spans="6:19" ht="12" x14ac:dyDescent="0.35">
      <c r="F42" s="97" t="s">
        <v>81</v>
      </c>
      <c r="G42" s="97">
        <f>G41*G39</f>
        <v>1.7249999999999999</v>
      </c>
      <c r="H42" s="97">
        <f>H41*G39</f>
        <v>1.875</v>
      </c>
      <c r="I42" s="58">
        <f>H42*3.4</f>
        <v>6.375</v>
      </c>
      <c r="J42" s="58">
        <f>H42*5</f>
        <v>9.375</v>
      </c>
    </row>
    <row r="43" spans="6:19" ht="24" x14ac:dyDescent="0.35">
      <c r="F43" s="97" t="s">
        <v>82</v>
      </c>
      <c r="G43" s="97">
        <f>G41-G42</f>
        <v>9.7750000000000004</v>
      </c>
      <c r="H43" s="97">
        <f>H41-H42</f>
        <v>10.625</v>
      </c>
      <c r="J43" s="58">
        <f>H43*5</f>
        <v>53.125</v>
      </c>
    </row>
    <row r="44" spans="6:19" x14ac:dyDescent="0.35">
      <c r="J44" s="58">
        <f>J43-J42</f>
        <v>43.75</v>
      </c>
    </row>
  </sheetData>
  <mergeCells count="7">
    <mergeCell ref="F29:G29"/>
    <mergeCell ref="F2:L2"/>
    <mergeCell ref="N2:T2"/>
    <mergeCell ref="K4:L4"/>
    <mergeCell ref="S4:T4"/>
    <mergeCell ref="E23:F23"/>
    <mergeCell ref="G26:J26"/>
  </mergeCells>
  <pageMargins left="0.25" right="0.25"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Fee-Commission</vt:lpstr>
      <vt:lpstr>Final - Uddokta Initiated</vt:lpstr>
      <vt:lpstr>Final - Customer Initiated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Arafat</dc:creator>
  <cp:lastModifiedBy>Md. Rashedul Islam</cp:lastModifiedBy>
  <cp:lastPrinted>2020-04-15T09:33:53Z</cp:lastPrinted>
  <dcterms:created xsi:type="dcterms:W3CDTF">2018-04-24T07:56:48Z</dcterms:created>
  <dcterms:modified xsi:type="dcterms:W3CDTF">2025-11-05T08:02:38Z</dcterms:modified>
</cp:coreProperties>
</file>