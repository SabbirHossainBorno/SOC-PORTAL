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381BCD3-52D6-4126-95FB-C20551AE66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7" r:id="rId1"/>
    <sheet name="Email Tasks" sheetId="1" r:id="rId2"/>
    <sheet name="Nagad STC &amp; NS TechOps" sheetId="4" r:id="rId3"/>
    <sheet name="Service Desk New Tickets" sheetId="6" r:id="rId4"/>
  </sheets>
  <definedNames>
    <definedName name="_xlnm._FilterDatabase" localSheetId="1" hidden="1">'Email Tasks'!$A$1:$G$57</definedName>
    <definedName name="_xlnm._FilterDatabase" localSheetId="2" hidden="1">'Nagad STC &amp; NS TechOps'!$B$2:$E$13</definedName>
    <definedName name="_xlnm._FilterDatabase" localSheetId="3" hidden="1">'Service Desk New Tickets'!$A$1:$C$1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4" l="1"/>
  <c r="C16" i="4" s="1"/>
  <c r="C17" i="4" s="1"/>
  <c r="C4" i="4"/>
  <c r="C5" i="4" s="1"/>
  <c r="C6" i="4" s="1"/>
  <c r="C7" i="4" s="1"/>
  <c r="C8" i="4" s="1"/>
  <c r="C9" i="4" l="1"/>
  <c r="C10" i="4" s="1"/>
  <c r="C11" i="4" s="1"/>
  <c r="C12" i="4" s="1"/>
  <c r="C13" i="4" s="1"/>
  <c r="C14" i="4" s="1"/>
  <c r="L18" i="4"/>
  <c r="F2" i="1" l="1"/>
  <c r="A1" i="4"/>
  <c r="D6" i="7"/>
  <c r="D5" i="7"/>
  <c r="E5" i="7"/>
  <c r="G2" i="1" l="1"/>
  <c r="F5" i="1" l="1"/>
  <c r="F4" i="1"/>
  <c r="F3" i="1"/>
  <c r="C5" i="1"/>
  <c r="G5" i="1" s="1"/>
  <c r="C4" i="1"/>
  <c r="G4" i="1" s="1"/>
  <c r="C3" i="1"/>
  <c r="G3" i="1" s="1"/>
  <c r="C6" i="1"/>
  <c r="D6" i="1" l="1"/>
  <c r="F6" i="1" s="1"/>
  <c r="C7" i="1"/>
  <c r="D7" i="1" s="1"/>
  <c r="F7" i="1" s="1"/>
  <c r="C11" i="1"/>
  <c r="C10" i="1"/>
  <c r="D10" i="1" s="1"/>
  <c r="F10" i="1" s="1"/>
  <c r="C9" i="1"/>
  <c r="C8" i="1"/>
  <c r="G6" i="1" l="1"/>
  <c r="C12" i="1"/>
  <c r="D12" i="1" s="1"/>
  <c r="F12" i="1" s="1"/>
  <c r="G7" i="1"/>
  <c r="F11" i="1"/>
  <c r="D8" i="1"/>
  <c r="F8" i="1" s="1"/>
  <c r="G10" i="1"/>
  <c r="F9" i="1"/>
  <c r="G12" i="1" l="1"/>
  <c r="G9" i="1"/>
  <c r="G11" i="1"/>
  <c r="D4" i="7"/>
  <c r="D7" i="7" s="1"/>
  <c r="E4" i="7"/>
  <c r="E7" i="7" s="1"/>
  <c r="G8" i="1"/>
</calcChain>
</file>

<file path=xl/sharedStrings.xml><?xml version="1.0" encoding="utf-8"?>
<sst xmlns="http://schemas.openxmlformats.org/spreadsheetml/2006/main" count="118" uniqueCount="65">
  <si>
    <t>Channel</t>
  </si>
  <si>
    <t>Solved</t>
  </si>
  <si>
    <t>In-Progress</t>
  </si>
  <si>
    <t>Email Tasks</t>
  </si>
  <si>
    <t>SFTC &amp; NS TechOps</t>
  </si>
  <si>
    <t>Service Desk Tickets</t>
  </si>
  <si>
    <t>Total</t>
  </si>
  <si>
    <t>SL</t>
  </si>
  <si>
    <t>Mail Subject</t>
  </si>
  <si>
    <t>Task Raised Date</t>
  </si>
  <si>
    <t>Task Solved Date</t>
  </si>
  <si>
    <t>Task Raised By</t>
  </si>
  <si>
    <t>Status</t>
  </si>
  <si>
    <t>Solved Within a Day</t>
  </si>
  <si>
    <t>SL.</t>
  </si>
  <si>
    <t>Date</t>
  </si>
  <si>
    <t>ISSUE NO</t>
  </si>
  <si>
    <t>ISSUE TITLE</t>
  </si>
  <si>
    <t>Severity</t>
  </si>
  <si>
    <t>Remarks</t>
  </si>
  <si>
    <t>Yes</t>
  </si>
  <si>
    <t>Profile Restricted Issue</t>
  </si>
  <si>
    <t>Blank KYC Issue</t>
  </si>
  <si>
    <t>Resubmission Error</t>
  </si>
  <si>
    <t>NS TechOpps</t>
  </si>
  <si>
    <t>Serial</t>
  </si>
  <si>
    <t>Issue Name</t>
  </si>
  <si>
    <t>Count</t>
  </si>
  <si>
    <t>Out Block</t>
  </si>
  <si>
    <t>Profile Limit Issue</t>
  </si>
  <si>
    <t>NID Untag Issue</t>
  </si>
  <si>
    <t>Mobile Recharge Issue</t>
  </si>
  <si>
    <t>TOTAL</t>
  </si>
  <si>
    <t>Others</t>
  </si>
  <si>
    <t>PIN Set Issue</t>
  </si>
  <si>
    <t>OTP/SMS Issue</t>
  </si>
  <si>
    <t>Profile Update Issue</t>
  </si>
  <si>
    <t>CS/CDIM</t>
  </si>
  <si>
    <t>Issue</t>
  </si>
  <si>
    <t>Date: October 09, 2025</t>
  </si>
  <si>
    <t>SMTAP Reverse Request</t>
  </si>
  <si>
    <t>NAGAD-1784</t>
  </si>
  <si>
    <t>Delayed App response issue - October 9, 2025</t>
  </si>
  <si>
    <t>Waiting for support</t>
  </si>
  <si>
    <t>Major</t>
  </si>
  <si>
    <t>NAGAD-1783</t>
  </si>
  <si>
    <t>Auto Lifting Failure for SBL – Landing for Manual Approval</t>
  </si>
  <si>
    <t>Insurance Cashback Campaign</t>
  </si>
  <si>
    <t>Commercial</t>
  </si>
  <si>
    <t>Request for Peak Usage Data of DMS Portal</t>
  </si>
  <si>
    <t>Service Delivery</t>
  </si>
  <si>
    <t>Cashback with Lanka Bangla (Bill Payment)</t>
  </si>
  <si>
    <t>Please share the required information (mamla reference attached)</t>
  </si>
  <si>
    <t>Legal</t>
  </si>
  <si>
    <t>Reset Portal Credential.</t>
  </si>
  <si>
    <t>Fraud Actual: Victim No: 01712420250 (General    Profile) Fraudster's A/C 01816519170 Caller's No: 01950967404 , 01915201701</t>
  </si>
  <si>
    <t xml:space="preserve"> Settlement Rate not generated in system portal | 20251116</t>
  </si>
  <si>
    <t>Revenue Assurance</t>
  </si>
  <si>
    <t>Declaration Letter_01316389724</t>
  </si>
  <si>
    <t>Finance</t>
  </si>
  <si>
    <t xml:space="preserve">DMS portal credentials resending request </t>
  </si>
  <si>
    <t>Request for Review of Test Cases – MPGS Add Money Integration</t>
  </si>
  <si>
    <t>Technology</t>
  </si>
  <si>
    <t>Add money from Bank service - Data unavailable 13th, 14th &amp; 15th Nov 2025</t>
  </si>
  <si>
    <t>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</si>
</sst>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Verdana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42424"/>
      <name val="Segoe UI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A9D08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  <xf numFmtId="16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vertical="center"/>
    </xf>
    <xf numFmtId="1" fontId="0" fillId="0" borderId="0" xfId="0" applyNumberFormat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6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 applyAlignment="1">
      <alignment horizontal="center"/>
    </xf>
    <xf numFmtId="1" fontId="0" fillId="0" borderId="1" xfId="0" applyNumberForma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6" fontId="0" fillId="0" borderId="1" xfId="0" applyNumberFormat="1" applyBorder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6" fontId="0" fillId="5" borderId="10" xfId="0" applyNumberFormat="1" applyFill="1" applyBorder="1" applyAlignment="1">
      <alignment horizontal="center" vertical="center"/>
    </xf>
    <xf numFmtId="16" fontId="0" fillId="8" borderId="10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/>
    </xf>
    <xf numFmtId="0" fontId="8" fillId="10" borderId="5" xfId="0" applyFont="1" applyFill="1" applyBorder="1" applyAlignment="1">
      <alignment horizontal="center" vertical="center"/>
    </xf>
    <xf numFmtId="0" fontId="10" fillId="0" borderId="1" xfId="0" applyFont="1" applyBorder="1"/>
    <xf numFmtId="1" fontId="0" fillId="0" borderId="1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1" fillId="0" borderId="1" xfId="1" applyBorder="1" applyAlignment="1">
      <alignment horizontal="center" vertical="center"/>
    </xf>
    <xf numFmtId="0" fontId="10" fillId="0" borderId="0" xfId="0" applyFont="1"/>
    <xf numFmtId="0" fontId="8" fillId="3" borderId="1" xfId="0" applyFont="1" applyFill="1" applyBorder="1" applyAlignment="1">
      <alignment horizontal="center"/>
    </xf>
    <xf numFmtId="16" fontId="0" fillId="0" borderId="13" xfId="0" applyNumberFormat="1" applyBorder="1" applyAlignment="1">
      <alignment vertical="center"/>
    </xf>
    <xf numFmtId="16" fontId="0" fillId="0" borderId="14" xfId="0" applyNumberFormat="1" applyBorder="1" applyAlignment="1">
      <alignment vertical="center"/>
    </xf>
    <xf numFmtId="16" fontId="0" fillId="0" borderId="15" xfId="0" applyNumberFormat="1" applyBorder="1" applyAlignment="1">
      <alignment vertical="center"/>
    </xf>
    <xf numFmtId="16" fontId="0" fillId="0" borderId="18" xfId="0" applyNumberFormat="1" applyBorder="1" applyAlignment="1">
      <alignment vertical="center"/>
    </xf>
    <xf numFmtId="16" fontId="0" fillId="0" borderId="16" xfId="0" applyNumberFormat="1" applyBorder="1" applyAlignment="1">
      <alignment vertical="center"/>
    </xf>
    <xf numFmtId="16" fontId="0" fillId="0" borderId="19" xfId="0" applyNumberFormat="1" applyBorder="1" applyAlignment="1">
      <alignment vertical="center"/>
    </xf>
    <xf numFmtId="0" fontId="8" fillId="9" borderId="6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16" fontId="0" fillId="7" borderId="11" xfId="0" applyNumberFormat="1" applyFill="1" applyBorder="1" applyAlignment="1">
      <alignment horizontal="center" vertical="center"/>
    </xf>
    <xf numFmtId="16" fontId="0" fillId="7" borderId="9" xfId="0" applyNumberFormat="1" applyFill="1" applyBorder="1" applyAlignment="1">
      <alignment horizontal="center" vertical="center"/>
    </xf>
    <xf numFmtId="16" fontId="0" fillId="7" borderId="12" xfId="0" applyNumberFormat="1" applyFill="1" applyBorder="1" applyAlignment="1">
      <alignment horizontal="center" vertical="center"/>
    </xf>
    <xf numFmtId="17" fontId="6" fillId="3" borderId="2" xfId="0" applyNumberFormat="1" applyFont="1" applyFill="1" applyBorder="1" applyAlignment="1">
      <alignment horizontal="center" vertical="center"/>
    </xf>
    <xf numFmtId="17" fontId="6" fillId="3" borderId="3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Date: October</a:t>
            </a:r>
            <a:r>
              <a:rPr lang="en-US" baseline="0"/>
              <a:t> 27,</a:t>
            </a:r>
            <a:r>
              <a:rPr lang="en-US"/>
              <a:t> 2025</a:t>
            </a:r>
          </a:p>
        </c:rich>
      </c:tx>
      <c:layout>
        <c:manualLayout>
          <c:xMode val="edge"/>
          <c:yMode val="edge"/>
          <c:x val="0.2797915573053367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Summary!$D$3</c:f>
              <c:strCache>
                <c:ptCount val="1"/>
                <c:pt idx="0">
                  <c:v>Solved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Summary!$C$4:$C$6</c:f>
              <c:strCache>
                <c:ptCount val="3"/>
                <c:pt idx="0">
                  <c:v>Email Tasks</c:v>
                </c:pt>
                <c:pt idx="1">
                  <c:v>SFTC &amp; NS TechOps</c:v>
                </c:pt>
                <c:pt idx="2">
                  <c:v>Service Desk Tickets</c:v>
                </c:pt>
              </c:strCache>
            </c:strRef>
          </c:cat>
          <c:val>
            <c:numRef>
              <c:f>Summary!$D$4:$D$6</c:f>
              <c:numCache>
                <c:formatCode>General</c:formatCode>
                <c:ptCount val="3"/>
                <c:pt idx="0">
                  <c:v>5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1-4F10-85C4-A12D804CD209}"/>
            </c:ext>
          </c:extLst>
        </c:ser>
        <c:ser>
          <c:idx val="1"/>
          <c:order val="1"/>
          <c:tx>
            <c:strRef>
              <c:f>Summary!$E$3</c:f>
              <c:strCache>
                <c:ptCount val="1"/>
                <c:pt idx="0">
                  <c:v>In-Progress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Summary!$C$4:$C$6</c:f>
              <c:strCache>
                <c:ptCount val="3"/>
                <c:pt idx="0">
                  <c:v>Email Tasks</c:v>
                </c:pt>
                <c:pt idx="1">
                  <c:v>SFTC &amp; NS TechOps</c:v>
                </c:pt>
                <c:pt idx="2">
                  <c:v>Service Desk Tickets</c:v>
                </c:pt>
              </c:strCache>
            </c:strRef>
          </c:cat>
          <c:val>
            <c:numRef>
              <c:f>Summary!$E$4:$E$6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61-4F10-85C4-A12D804CD2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79212168"/>
        <c:axId val="479212496"/>
        <c:axId val="0"/>
      </c:bar3DChart>
      <c:catAx>
        <c:axId val="47921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12496"/>
        <c:crosses val="autoZero"/>
        <c:auto val="1"/>
        <c:lblAlgn val="ctr"/>
        <c:lblOffset val="100"/>
        <c:noMultiLvlLbl val="0"/>
      </c:catAx>
      <c:valAx>
        <c:axId val="47921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12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166687</xdr:rowOff>
    </xdr:from>
    <xdr:to>
      <xdr:col>13</xdr:col>
      <xdr:colOff>114300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2D736-6EBB-465D-9486-4FD853E4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AA43F663-5002-4D4A-BC86-5A0D321ECD7B}">
  <we:reference id="wa104006972" version="1.0.0.0" store="en-US" storeType="OMEX"/>
  <we:alternateReferences>
    <we:reference id="WA104006972" version="1.0.0.0" store="WA1040069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9425B72-306F-45A2-8EB6-8F9DEC3E4AAA}">
  <we:reference id="wa104199815" version="1.0.0.1" store="en-US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2F1ADE25-D377-40D9-AC19-3AC4AE497299}">
  <we:reference id="wa104178772" version="1.0.0.0" store="en-US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konasl.atlassian.net/servicedesk/customer/portal/3/NAGAD-1783" TargetMode="External"/><Relationship Id="rId2" Type="http://schemas.openxmlformats.org/officeDocument/2006/relationships/hyperlink" Target="https://konasl.atlassian.net/servicedesk/customer/portal/3/NAGAD-1784" TargetMode="External"/><Relationship Id="rId1" Type="http://schemas.openxmlformats.org/officeDocument/2006/relationships/hyperlink" Target="https://konasl.atlassian.net/servicedesk/customer/portal/3/NAGAD-1784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konasl.atlassian.net/servicedesk/customer/portal/3/NAGAD-17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7"/>
  <sheetViews>
    <sheetView zoomScaleNormal="100" workbookViewId="0">
      <selection activeCell="R26" sqref="R26"/>
    </sheetView>
  </sheetViews>
  <sheetFormatPr defaultRowHeight="15" x14ac:dyDescent="0.25"/>
  <cols>
    <col min="3" max="3" width="19" bestFit="1" customWidth="1"/>
    <col min="5" max="5" width="11" bestFit="1" customWidth="1"/>
  </cols>
  <sheetData>
    <row r="2" spans="3:5" x14ac:dyDescent="0.25">
      <c r="C2" s="47" t="s">
        <v>39</v>
      </c>
      <c r="D2" s="47"/>
      <c r="E2" s="47"/>
    </row>
    <row r="3" spans="3:5" x14ac:dyDescent="0.25">
      <c r="C3" s="18" t="s">
        <v>0</v>
      </c>
      <c r="D3" s="18" t="s">
        <v>1</v>
      </c>
      <c r="E3" s="18" t="s">
        <v>2</v>
      </c>
    </row>
    <row r="4" spans="3:5" x14ac:dyDescent="0.25">
      <c r="C4" s="15" t="s">
        <v>3</v>
      </c>
      <c r="D4" s="15">
        <f>COUNTIF('Email Tasks'!F:F,"Solved")</f>
        <v>5</v>
      </c>
      <c r="E4" s="15">
        <f>COUNTIF('Email Tasks'!F:F,"In-Progress")</f>
        <v>6</v>
      </c>
    </row>
    <row r="5" spans="3:5" x14ac:dyDescent="0.25">
      <c r="C5" s="15" t="s">
        <v>4</v>
      </c>
      <c r="D5" s="15">
        <f>COUNTIF('Nagad STC &amp; NS TechOps'!D3:D100,"Solved")</f>
        <v>15</v>
      </c>
      <c r="E5" s="15">
        <f>COUNTIF('Nagad STC &amp; NS TechOps'!D3:D15,"In-Progress")</f>
        <v>0</v>
      </c>
    </row>
    <row r="6" spans="3:5" x14ac:dyDescent="0.25">
      <c r="C6" s="15" t="s">
        <v>5</v>
      </c>
      <c r="D6" s="15">
        <f>COUNTIF('Service Desk New Tickets'!D1:D27,"Major")</f>
        <v>2</v>
      </c>
      <c r="E6" s="15">
        <v>0</v>
      </c>
    </row>
    <row r="7" spans="3:5" x14ac:dyDescent="0.25">
      <c r="C7" s="17" t="s">
        <v>6</v>
      </c>
      <c r="D7" s="15">
        <f>SUM(D4:D6)</f>
        <v>22</v>
      </c>
      <c r="E7" s="15">
        <f>SUM(E4:E6)</f>
        <v>6</v>
      </c>
    </row>
  </sheetData>
  <mergeCells count="1">
    <mergeCell ref="C2:E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tabSelected="1" zoomScale="110" zoomScaleNormal="110" workbookViewId="0">
      <selection activeCell="B69" sqref="A1:XFD1048576"/>
    </sheetView>
  </sheetViews>
  <sheetFormatPr defaultColWidth="9.140625" defaultRowHeight="15" x14ac:dyDescent="0.25"/>
  <cols>
    <col min="1" max="1" width="8.140625" style="4" customWidth="1"/>
    <col min="2" max="2" width="126.7109375" style="27" bestFit="1" customWidth="1"/>
    <col min="3" max="3" width="19.28515625" style="28" bestFit="1" customWidth="1"/>
    <col min="4" max="4" width="19.42578125" style="29" bestFit="1" customWidth="1"/>
    <col min="5" max="5" width="17.28515625" style="29" bestFit="1" customWidth="1"/>
    <col min="6" max="6" width="11.28515625" style="2" bestFit="1" customWidth="1"/>
    <col min="7" max="7" width="22" style="2" bestFit="1" customWidth="1"/>
    <col min="8" max="16384" width="9.140625" style="4"/>
  </cols>
  <sheetData>
    <row r="1" spans="1:7" s="2" customFormat="1" x14ac:dyDescent="0.25">
      <c r="A1" s="11" t="s">
        <v>7</v>
      </c>
      <c r="B1" s="11" t="s">
        <v>8</v>
      </c>
      <c r="C1" s="11" t="s">
        <v>9</v>
      </c>
      <c r="D1" s="12" t="s">
        <v>10</v>
      </c>
      <c r="E1" s="12" t="s">
        <v>11</v>
      </c>
      <c r="F1" s="12" t="s">
        <v>12</v>
      </c>
      <c r="G1" s="13" t="s">
        <v>13</v>
      </c>
    </row>
    <row r="2" spans="1:7" x14ac:dyDescent="0.25">
      <c r="A2" s="16">
        <v>1</v>
      </c>
      <c r="B2" s="38" t="s">
        <v>47</v>
      </c>
      <c r="C2" s="5">
        <v>45977</v>
      </c>
      <c r="D2" s="5"/>
      <c r="E2" s="1" t="s">
        <v>48</v>
      </c>
      <c r="F2" s="1" t="str">
        <f t="shared" ref="F2:F17" si="0">IF(ISBLANK(D2),"In-Progress","Solved")</f>
        <v>In-Progress</v>
      </c>
      <c r="G2" s="1" t="str">
        <f t="shared" ref="G2:G17" si="1">IF(C2=D2,"Yes","No")</f>
        <v>No</v>
      </c>
    </row>
    <row r="3" spans="1:7" ht="15.95" customHeight="1" x14ac:dyDescent="0.25">
      <c r="A3" s="16">
        <v>2</v>
      </c>
      <c r="B3" s="38" t="s">
        <v>49</v>
      </c>
      <c r="C3" s="5">
        <f>'Email Tasks'!C2</f>
        <v>45977</v>
      </c>
      <c r="D3" s="5"/>
      <c r="E3" s="1" t="s">
        <v>50</v>
      </c>
      <c r="F3" s="1" t="str">
        <f t="shared" si="0"/>
        <v>In-Progress</v>
      </c>
      <c r="G3" s="1" t="str">
        <f t="shared" si="1"/>
        <v>No</v>
      </c>
    </row>
    <row r="4" spans="1:7" x14ac:dyDescent="0.25">
      <c r="A4" s="16">
        <v>3</v>
      </c>
      <c r="B4" s="38" t="s">
        <v>51</v>
      </c>
      <c r="C4" s="5">
        <f>'Email Tasks'!C2</f>
        <v>45977</v>
      </c>
      <c r="D4" s="5"/>
      <c r="E4" s="1" t="s">
        <v>48</v>
      </c>
      <c r="F4" s="1" t="str">
        <f t="shared" si="0"/>
        <v>In-Progress</v>
      </c>
      <c r="G4" s="1" t="str">
        <f t="shared" si="1"/>
        <v>No</v>
      </c>
    </row>
    <row r="5" spans="1:7" x14ac:dyDescent="0.25">
      <c r="A5" s="16">
        <v>4</v>
      </c>
      <c r="B5" s="38" t="s">
        <v>52</v>
      </c>
      <c r="C5" s="5">
        <f>'Email Tasks'!C2</f>
        <v>45977</v>
      </c>
      <c r="D5" s="5"/>
      <c r="E5" s="1" t="s">
        <v>53</v>
      </c>
      <c r="F5" s="1" t="str">
        <f t="shared" si="0"/>
        <v>In-Progress</v>
      </c>
      <c r="G5" s="1" t="str">
        <f t="shared" si="1"/>
        <v>No</v>
      </c>
    </row>
    <row r="6" spans="1:7" x14ac:dyDescent="0.25">
      <c r="A6" s="16">
        <v>5</v>
      </c>
      <c r="B6" s="38" t="s">
        <v>54</v>
      </c>
      <c r="C6" s="5">
        <f>'Email Tasks'!C2</f>
        <v>45977</v>
      </c>
      <c r="D6" s="5">
        <f>C6</f>
        <v>45977</v>
      </c>
      <c r="E6" s="1" t="s">
        <v>37</v>
      </c>
      <c r="F6" s="1" t="str">
        <f t="shared" si="0"/>
        <v>Solved</v>
      </c>
      <c r="G6" s="1" t="str">
        <f t="shared" si="1"/>
        <v>Yes</v>
      </c>
    </row>
    <row r="7" spans="1:7" x14ac:dyDescent="0.25">
      <c r="A7" s="16">
        <v>6</v>
      </c>
      <c r="B7" s="38" t="s">
        <v>55</v>
      </c>
      <c r="C7" s="5">
        <f>'Email Tasks'!C3</f>
        <v>45977</v>
      </c>
      <c r="D7" s="5">
        <f>C7</f>
        <v>45977</v>
      </c>
      <c r="E7" s="1" t="s">
        <v>37</v>
      </c>
      <c r="F7" s="1" t="str">
        <f t="shared" si="0"/>
        <v>Solved</v>
      </c>
      <c r="G7" s="1" t="str">
        <f t="shared" si="1"/>
        <v>Yes</v>
      </c>
    </row>
    <row r="8" spans="1:7" x14ac:dyDescent="0.25">
      <c r="A8" s="16">
        <v>7</v>
      </c>
      <c r="B8" s="38" t="s">
        <v>56</v>
      </c>
      <c r="C8" s="5">
        <f>'Email Tasks'!C3</f>
        <v>45977</v>
      </c>
      <c r="D8" s="5">
        <f>C8</f>
        <v>45977</v>
      </c>
      <c r="E8" s="1" t="s">
        <v>57</v>
      </c>
      <c r="F8" s="1" t="str">
        <f t="shared" si="0"/>
        <v>Solved</v>
      </c>
      <c r="G8" s="1" t="str">
        <f t="shared" si="1"/>
        <v>Yes</v>
      </c>
    </row>
    <row r="9" spans="1:7" x14ac:dyDescent="0.25">
      <c r="A9" s="16">
        <v>8</v>
      </c>
      <c r="B9" s="38" t="s">
        <v>58</v>
      </c>
      <c r="C9" s="5">
        <f>'Email Tasks'!C4</f>
        <v>45977</v>
      </c>
      <c r="D9" s="5"/>
      <c r="E9" s="1" t="s">
        <v>59</v>
      </c>
      <c r="F9" s="1" t="str">
        <f t="shared" si="0"/>
        <v>In-Progress</v>
      </c>
      <c r="G9" s="1" t="str">
        <f t="shared" si="1"/>
        <v>No</v>
      </c>
    </row>
    <row r="10" spans="1:7" x14ac:dyDescent="0.25">
      <c r="A10" s="16">
        <v>9</v>
      </c>
      <c r="B10" s="38" t="s">
        <v>60</v>
      </c>
      <c r="C10" s="5">
        <f>'Email Tasks'!C5</f>
        <v>45977</v>
      </c>
      <c r="D10" s="5">
        <f>C10</f>
        <v>45977</v>
      </c>
      <c r="E10" s="1" t="s">
        <v>37</v>
      </c>
      <c r="F10" s="1" t="str">
        <f t="shared" si="0"/>
        <v>Solved</v>
      </c>
      <c r="G10" s="1" t="str">
        <f t="shared" si="1"/>
        <v>Yes</v>
      </c>
    </row>
    <row r="11" spans="1:7" x14ac:dyDescent="0.25">
      <c r="A11" s="16">
        <v>10</v>
      </c>
      <c r="B11" s="38" t="s">
        <v>61</v>
      </c>
      <c r="C11" s="5">
        <f>'Email Tasks'!C6</f>
        <v>45977</v>
      </c>
      <c r="D11" s="5"/>
      <c r="E11" s="1" t="s">
        <v>62</v>
      </c>
      <c r="F11" s="1" t="str">
        <f t="shared" si="0"/>
        <v>In-Progress</v>
      </c>
      <c r="G11" s="1" t="str">
        <f t="shared" si="1"/>
        <v>No</v>
      </c>
    </row>
    <row r="12" spans="1:7" x14ac:dyDescent="0.25">
      <c r="A12" s="16">
        <v>11</v>
      </c>
      <c r="B12" s="38" t="s">
        <v>63</v>
      </c>
      <c r="C12" s="5">
        <f>'Email Tasks'!C7</f>
        <v>45977</v>
      </c>
      <c r="D12" s="5">
        <f>C12</f>
        <v>45977</v>
      </c>
      <c r="E12" s="1" t="s">
        <v>64</v>
      </c>
      <c r="F12" s="1" t="str">
        <f t="shared" si="0"/>
        <v>Solved</v>
      </c>
      <c r="G12" s="1" t="str">
        <f t="shared" si="1"/>
        <v>Yes</v>
      </c>
    </row>
    <row r="13" spans="1:7" x14ac:dyDescent="0.25">
      <c r="A13" s="16"/>
      <c r="B13" s="46"/>
      <c r="C13" s="5"/>
      <c r="D13" s="5"/>
      <c r="E13" s="1"/>
      <c r="F13" s="1"/>
      <c r="G13" s="1"/>
    </row>
    <row r="14" spans="1:7" x14ac:dyDescent="0.25">
      <c r="A14" s="16"/>
      <c r="B14" s="38"/>
      <c r="C14" s="5"/>
      <c r="D14" s="5"/>
      <c r="E14" s="1"/>
      <c r="F14" s="1"/>
      <c r="G14" s="1"/>
    </row>
    <row r="15" spans="1:7" x14ac:dyDescent="0.25">
      <c r="A15" s="16"/>
      <c r="B15" s="38"/>
      <c r="C15" s="5"/>
      <c r="D15" s="5"/>
      <c r="E15" s="1"/>
      <c r="F15" s="1"/>
      <c r="G15" s="1"/>
    </row>
    <row r="16" spans="1:7" x14ac:dyDescent="0.25">
      <c r="A16" s="16"/>
      <c r="B16" s="38"/>
      <c r="C16" s="5"/>
      <c r="D16" s="5"/>
      <c r="E16" s="1"/>
      <c r="F16" s="1"/>
      <c r="G16" s="1"/>
    </row>
    <row r="17" spans="1:7" x14ac:dyDescent="0.25">
      <c r="A17" s="16"/>
      <c r="B17" s="38"/>
      <c r="C17" s="5"/>
      <c r="D17" s="5"/>
      <c r="E17" s="1"/>
      <c r="F17" s="1"/>
      <c r="G17" s="1"/>
    </row>
    <row r="18" spans="1:7" x14ac:dyDescent="0.25">
      <c r="A18" s="16"/>
      <c r="B18" s="38"/>
      <c r="C18" s="5"/>
      <c r="D18" s="5"/>
      <c r="E18" s="1"/>
      <c r="F18" s="1"/>
      <c r="G18" s="1"/>
    </row>
    <row r="19" spans="1:7" x14ac:dyDescent="0.25">
      <c r="A19" s="16"/>
      <c r="B19" s="38"/>
      <c r="C19" s="5"/>
      <c r="D19" s="5"/>
      <c r="E19" s="1"/>
      <c r="F19" s="1"/>
      <c r="G19" s="1"/>
    </row>
    <row r="20" spans="1:7" x14ac:dyDescent="0.25">
      <c r="A20" s="16"/>
      <c r="B20" s="38"/>
      <c r="C20" s="5"/>
      <c r="D20" s="5"/>
      <c r="E20" s="1"/>
      <c r="F20" s="1"/>
      <c r="G20" s="1"/>
    </row>
    <row r="21" spans="1:7" x14ac:dyDescent="0.25">
      <c r="A21" s="16"/>
      <c r="B21" s="38"/>
      <c r="C21" s="5"/>
      <c r="D21" s="5"/>
      <c r="E21" s="1"/>
      <c r="F21" s="1"/>
      <c r="G21" s="1"/>
    </row>
    <row r="22" spans="1:7" x14ac:dyDescent="0.25">
      <c r="A22" s="16"/>
      <c r="B22" s="38"/>
      <c r="C22" s="5"/>
      <c r="D22" s="5"/>
      <c r="E22" s="1"/>
      <c r="F22" s="1"/>
      <c r="G22" s="1"/>
    </row>
    <row r="23" spans="1:7" x14ac:dyDescent="0.25">
      <c r="A23" s="16"/>
      <c r="B23" s="38"/>
      <c r="C23" s="5"/>
      <c r="D23" s="5"/>
      <c r="E23" s="1"/>
      <c r="F23" s="1"/>
      <c r="G23" s="1"/>
    </row>
    <row r="24" spans="1:7" x14ac:dyDescent="0.25">
      <c r="A24" s="16"/>
      <c r="B24" s="38"/>
      <c r="C24" s="5"/>
      <c r="D24" s="5"/>
      <c r="E24" s="1"/>
      <c r="F24" s="1"/>
      <c r="G24" s="1"/>
    </row>
    <row r="25" spans="1:7" x14ac:dyDescent="0.25">
      <c r="A25" s="16"/>
      <c r="B25" s="38"/>
      <c r="C25" s="5"/>
      <c r="D25" s="5"/>
      <c r="E25" s="1"/>
      <c r="F25" s="1"/>
      <c r="G25" s="1"/>
    </row>
    <row r="26" spans="1:7" x14ac:dyDescent="0.25">
      <c r="A26" s="16"/>
      <c r="B26" s="38"/>
      <c r="C26" s="5"/>
      <c r="D26" s="5"/>
      <c r="E26" s="1"/>
      <c r="F26" s="1"/>
      <c r="G26" s="1"/>
    </row>
    <row r="27" spans="1:7" x14ac:dyDescent="0.25">
      <c r="A27" s="16"/>
      <c r="B27" s="38"/>
      <c r="C27" s="5"/>
      <c r="D27" s="5"/>
      <c r="E27" s="1"/>
      <c r="F27" s="1"/>
      <c r="G27" s="1"/>
    </row>
    <row r="28" spans="1:7" x14ac:dyDescent="0.25">
      <c r="A28" s="16"/>
      <c r="B28" s="38"/>
      <c r="C28" s="5"/>
      <c r="D28" s="5"/>
      <c r="E28" s="1"/>
      <c r="F28" s="1"/>
      <c r="G28" s="1"/>
    </row>
    <row r="29" spans="1:7" x14ac:dyDescent="0.25">
      <c r="A29" s="16"/>
      <c r="B29" s="38"/>
      <c r="C29" s="5"/>
      <c r="D29" s="5"/>
      <c r="E29" s="1"/>
      <c r="F29" s="1"/>
      <c r="G29" s="1"/>
    </row>
    <row r="30" spans="1:7" x14ac:dyDescent="0.25">
      <c r="A30" s="16"/>
      <c r="B30" s="38"/>
      <c r="C30" s="5"/>
      <c r="D30" s="5"/>
      <c r="E30" s="1"/>
      <c r="F30" s="1"/>
      <c r="G30" s="1"/>
    </row>
    <row r="31" spans="1:7" x14ac:dyDescent="0.25">
      <c r="A31" s="16"/>
      <c r="B31" s="38"/>
      <c r="C31" s="5"/>
      <c r="D31" s="5"/>
      <c r="E31" s="1"/>
      <c r="F31" s="1"/>
      <c r="G31" s="1"/>
    </row>
    <row r="32" spans="1:7" x14ac:dyDescent="0.25">
      <c r="A32" s="16"/>
      <c r="B32" s="38"/>
      <c r="C32" s="5"/>
      <c r="D32" s="5"/>
      <c r="E32" s="1"/>
      <c r="F32" s="1"/>
      <c r="G32" s="1"/>
    </row>
    <row r="33" spans="1:7" x14ac:dyDescent="0.25">
      <c r="A33" s="16"/>
      <c r="B33" s="38"/>
      <c r="C33" s="5"/>
      <c r="D33" s="5"/>
      <c r="E33" s="1"/>
      <c r="F33" s="1"/>
      <c r="G33" s="1"/>
    </row>
    <row r="34" spans="1:7" x14ac:dyDescent="0.25">
      <c r="A34" s="16"/>
      <c r="B34" s="38"/>
      <c r="C34" s="5"/>
      <c r="D34" s="5"/>
      <c r="E34" s="1"/>
      <c r="F34" s="1"/>
      <c r="G34" s="1"/>
    </row>
    <row r="35" spans="1:7" x14ac:dyDescent="0.25">
      <c r="A35" s="16"/>
      <c r="B35" s="38"/>
      <c r="C35" s="5"/>
      <c r="D35" s="5"/>
      <c r="E35" s="1"/>
      <c r="F35" s="1"/>
      <c r="G35" s="1"/>
    </row>
    <row r="36" spans="1:7" x14ac:dyDescent="0.25">
      <c r="A36" s="16"/>
      <c r="B36" s="38"/>
      <c r="C36" s="5"/>
      <c r="D36" s="5"/>
      <c r="E36" s="1"/>
      <c r="F36" s="1"/>
      <c r="G36" s="1"/>
    </row>
    <row r="37" spans="1:7" x14ac:dyDescent="0.25">
      <c r="A37" s="16"/>
      <c r="B37" s="38"/>
      <c r="C37" s="5"/>
      <c r="D37" s="5"/>
      <c r="E37" s="1"/>
      <c r="F37" s="1"/>
      <c r="G37" s="1"/>
    </row>
    <row r="38" spans="1:7" x14ac:dyDescent="0.25">
      <c r="A38" s="16"/>
      <c r="B38" s="38"/>
      <c r="C38" s="5"/>
      <c r="D38" s="5"/>
      <c r="E38" s="1"/>
      <c r="F38" s="1"/>
      <c r="G38" s="1"/>
    </row>
    <row r="39" spans="1:7" x14ac:dyDescent="0.25">
      <c r="A39" s="16"/>
      <c r="B39" s="38"/>
      <c r="C39" s="5"/>
      <c r="D39" s="5"/>
      <c r="E39" s="1"/>
      <c r="F39" s="1"/>
      <c r="G39" s="1"/>
    </row>
    <row r="40" spans="1:7" x14ac:dyDescent="0.25">
      <c r="A40" s="16"/>
      <c r="B40" s="38"/>
      <c r="C40" s="5"/>
      <c r="D40" s="5"/>
      <c r="E40" s="1"/>
      <c r="F40" s="1"/>
      <c r="G40" s="1"/>
    </row>
    <row r="41" spans="1:7" x14ac:dyDescent="0.25">
      <c r="A41" s="16"/>
      <c r="B41" s="38"/>
      <c r="C41" s="5"/>
      <c r="D41" s="5"/>
      <c r="E41" s="1"/>
      <c r="F41" s="1"/>
      <c r="G41" s="1"/>
    </row>
    <row r="42" spans="1:7" x14ac:dyDescent="0.25">
      <c r="A42" s="16"/>
      <c r="B42" s="38"/>
      <c r="C42" s="5"/>
      <c r="D42" s="5"/>
      <c r="E42" s="1"/>
      <c r="F42" s="1"/>
      <c r="G42" s="1"/>
    </row>
    <row r="43" spans="1:7" x14ac:dyDescent="0.25">
      <c r="A43" s="16"/>
      <c r="B43" s="38"/>
      <c r="C43" s="5"/>
      <c r="D43" s="5"/>
      <c r="E43" s="1"/>
      <c r="F43" s="1"/>
      <c r="G43" s="1"/>
    </row>
    <row r="44" spans="1:7" x14ac:dyDescent="0.25">
      <c r="A44" s="16"/>
      <c r="B44" s="38"/>
      <c r="C44" s="5"/>
      <c r="D44" s="5"/>
      <c r="E44" s="1"/>
      <c r="F44" s="1"/>
      <c r="G44" s="1"/>
    </row>
    <row r="45" spans="1:7" x14ac:dyDescent="0.25">
      <c r="A45" s="16"/>
      <c r="B45" s="38"/>
      <c r="C45" s="5"/>
      <c r="D45" s="5"/>
      <c r="E45" s="1"/>
      <c r="F45" s="1"/>
      <c r="G45" s="1"/>
    </row>
    <row r="46" spans="1:7" x14ac:dyDescent="0.25">
      <c r="A46" s="16"/>
      <c r="B46" s="38"/>
      <c r="C46" s="5"/>
      <c r="D46" s="5"/>
      <c r="E46" s="1"/>
      <c r="F46" s="1"/>
      <c r="G46" s="1"/>
    </row>
    <row r="47" spans="1:7" x14ac:dyDescent="0.25">
      <c r="A47" s="16"/>
      <c r="B47" s="15"/>
      <c r="C47" s="5"/>
      <c r="D47" s="5"/>
      <c r="E47" s="1"/>
      <c r="F47" s="1"/>
      <c r="G47" s="1"/>
    </row>
    <row r="48" spans="1:7" x14ac:dyDescent="0.25">
      <c r="A48" s="16"/>
      <c r="B48" s="15"/>
      <c r="C48" s="5"/>
      <c r="D48" s="5"/>
      <c r="E48" s="1"/>
      <c r="F48" s="1"/>
      <c r="G48" s="1"/>
    </row>
    <row r="49" spans="1:7" x14ac:dyDescent="0.25">
      <c r="A49" s="2"/>
      <c r="C49" s="26"/>
      <c r="D49" s="26"/>
      <c r="E49" s="3"/>
      <c r="F49" s="3"/>
      <c r="G49" s="3"/>
    </row>
    <row r="50" spans="1:7" x14ac:dyDescent="0.25">
      <c r="A50" s="2"/>
      <c r="C50" s="26"/>
      <c r="D50" s="26"/>
      <c r="E50" s="3"/>
      <c r="F50" s="3"/>
      <c r="G50" s="3"/>
    </row>
    <row r="51" spans="1:7" x14ac:dyDescent="0.25">
      <c r="A51" s="2"/>
      <c r="C51" s="26"/>
      <c r="D51" s="26"/>
      <c r="E51" s="3"/>
      <c r="F51" s="3"/>
      <c r="G51" s="3"/>
    </row>
    <row r="52" spans="1:7" x14ac:dyDescent="0.25">
      <c r="A52" s="2"/>
      <c r="C52" s="26"/>
      <c r="D52" s="26"/>
      <c r="E52" s="3"/>
      <c r="F52" s="3"/>
      <c r="G52" s="3"/>
    </row>
    <row r="53" spans="1:7" x14ac:dyDescent="0.25">
      <c r="A53" s="2"/>
      <c r="C53" s="26"/>
      <c r="D53" s="26"/>
      <c r="E53" s="3"/>
      <c r="F53" s="3"/>
      <c r="G53" s="3"/>
    </row>
    <row r="54" spans="1:7" x14ac:dyDescent="0.25">
      <c r="A54" s="2"/>
      <c r="C54" s="26"/>
      <c r="D54" s="26"/>
      <c r="E54" s="3"/>
      <c r="F54" s="3"/>
      <c r="G54" s="3"/>
    </row>
    <row r="55" spans="1:7" x14ac:dyDescent="0.25">
      <c r="A55" s="2"/>
      <c r="C55" s="26"/>
      <c r="D55" s="26"/>
      <c r="E55" s="3"/>
      <c r="F55" s="3"/>
      <c r="G55" s="3"/>
    </row>
    <row r="56" spans="1:7" x14ac:dyDescent="0.25">
      <c r="F56" s="3"/>
    </row>
  </sheetData>
  <dataValidations count="4">
    <dataValidation type="date" allowBlank="1" showInputMessage="1" showErrorMessage="1" sqref="D1 D56:D1048576" xr:uid="{00000000-0002-0000-0100-000000000000}">
      <formula1>44197</formula1>
      <formula2>44561</formula2>
    </dataValidation>
    <dataValidation type="list" showInputMessage="1" showErrorMessage="1" sqref="E1 E56:E1048576" xr:uid="{00000000-0002-0000-0100-000001000000}">
      <formula1>"Sales, Finance, Commercial, Leagal, CS, Technology, External, Reconciliation, HRD, SCM, Project, RA, Makketing"</formula1>
    </dataValidation>
    <dataValidation type="date" allowBlank="1" showInputMessage="1" showErrorMessage="1" sqref="C1:C1048576 D2:D55" xr:uid="{00000000-0002-0000-0100-000002000000}">
      <formula1>44197</formula1>
      <formula2>55153</formula2>
    </dataValidation>
    <dataValidation type="list" showInputMessage="1" showErrorMessage="1" sqref="E2:E55" xr:uid="{00000000-0002-0000-0100-000005000000}">
      <formula1>"Sales,CS/CDIM,Compliance,Legal,Service Delivery,Finance,HRM,Reconciliation,SCM,Revenue Assurance,Marketing,Technology,Commercial,External"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7"/>
  <sheetViews>
    <sheetView zoomScale="115" zoomScaleNormal="115" workbookViewId="0">
      <selection activeCell="N12" sqref="N12"/>
    </sheetView>
  </sheetViews>
  <sheetFormatPr defaultColWidth="9.140625" defaultRowHeight="15" x14ac:dyDescent="0.25"/>
  <cols>
    <col min="1" max="1" width="4.7109375" style="10" customWidth="1"/>
    <col min="2" max="2" width="24.42578125" style="8" customWidth="1"/>
    <col min="3" max="3" width="8.5703125" style="8" customWidth="1"/>
    <col min="4" max="4" width="9.42578125" customWidth="1"/>
    <col min="5" max="5" width="20.7109375" style="24" bestFit="1" customWidth="1"/>
    <col min="6" max="6" width="9.140625" style="9"/>
    <col min="9" max="9" width="10.42578125" bestFit="1" customWidth="1"/>
  </cols>
  <sheetData>
    <row r="1" spans="1:12" s="7" customFormat="1" ht="16.149999999999999" customHeight="1" thickBot="1" x14ac:dyDescent="0.3">
      <c r="A1" s="63" t="str">
        <f>Summary!C3</f>
        <v>Channel</v>
      </c>
      <c r="B1" s="64"/>
      <c r="C1" s="64"/>
      <c r="D1" s="64"/>
      <c r="E1" s="64"/>
      <c r="F1" s="20"/>
      <c r="H1" s="57" t="s">
        <v>24</v>
      </c>
      <c r="I1" s="58"/>
      <c r="J1" s="58"/>
      <c r="K1" s="58"/>
      <c r="L1" s="59"/>
    </row>
    <row r="2" spans="1:12" s="9" customFormat="1" x14ac:dyDescent="0.25">
      <c r="A2" s="14" t="s">
        <v>14</v>
      </c>
      <c r="B2" s="14" t="s">
        <v>38</v>
      </c>
      <c r="C2" s="14" t="s">
        <v>15</v>
      </c>
      <c r="D2" s="14" t="s">
        <v>12</v>
      </c>
      <c r="E2" s="14" t="s">
        <v>13</v>
      </c>
      <c r="H2" s="32" t="s">
        <v>25</v>
      </c>
      <c r="I2" s="60" t="s">
        <v>26</v>
      </c>
      <c r="J2" s="61"/>
      <c r="K2" s="62"/>
      <c r="L2" s="33" t="s">
        <v>27</v>
      </c>
    </row>
    <row r="3" spans="1:12" s="9" customFormat="1" x14ac:dyDescent="0.25">
      <c r="A3" s="39">
        <v>1</v>
      </c>
      <c r="B3" s="21" t="s">
        <v>40</v>
      </c>
      <c r="C3" s="40">
        <v>45977</v>
      </c>
      <c r="D3" s="25" t="s">
        <v>1</v>
      </c>
      <c r="E3" s="41" t="s">
        <v>20</v>
      </c>
      <c r="H3" s="16">
        <v>1</v>
      </c>
      <c r="I3" s="48" t="s">
        <v>23</v>
      </c>
      <c r="J3" s="49"/>
      <c r="K3" s="50"/>
      <c r="L3" s="34">
        <v>1</v>
      </c>
    </row>
    <row r="4" spans="1:12" x14ac:dyDescent="0.25">
      <c r="A4" s="39">
        <v>2</v>
      </c>
      <c r="B4" s="21" t="s">
        <v>40</v>
      </c>
      <c r="C4" s="40">
        <f>C3</f>
        <v>45977</v>
      </c>
      <c r="D4" s="25" t="s">
        <v>1</v>
      </c>
      <c r="E4" s="41" t="s">
        <v>20</v>
      </c>
      <c r="H4" s="25">
        <v>2</v>
      </c>
      <c r="I4" s="48" t="s">
        <v>40</v>
      </c>
      <c r="J4" s="49"/>
      <c r="K4" s="50"/>
      <c r="L4" s="34">
        <v>10</v>
      </c>
    </row>
    <row r="5" spans="1:12" x14ac:dyDescent="0.25">
      <c r="A5" s="39">
        <v>3</v>
      </c>
      <c r="B5" s="21" t="s">
        <v>40</v>
      </c>
      <c r="C5" s="40">
        <f t="shared" ref="C5:C17" si="0">C4</f>
        <v>45977</v>
      </c>
      <c r="D5" s="25" t="s">
        <v>1</v>
      </c>
      <c r="E5" s="41" t="s">
        <v>20</v>
      </c>
      <c r="H5" s="25">
        <v>3</v>
      </c>
      <c r="I5" s="48" t="s">
        <v>21</v>
      </c>
      <c r="J5" s="49"/>
      <c r="K5" s="50"/>
      <c r="L5" s="34">
        <v>0</v>
      </c>
    </row>
    <row r="6" spans="1:12" x14ac:dyDescent="0.25">
      <c r="A6" s="39">
        <v>4</v>
      </c>
      <c r="B6" s="21" t="s">
        <v>40</v>
      </c>
      <c r="C6" s="40">
        <f t="shared" si="0"/>
        <v>45977</v>
      </c>
      <c r="D6" s="25" t="s">
        <v>1</v>
      </c>
      <c r="E6" s="41" t="s">
        <v>20</v>
      </c>
      <c r="H6" s="16">
        <v>4</v>
      </c>
      <c r="I6" s="48" t="s">
        <v>28</v>
      </c>
      <c r="J6" s="49"/>
      <c r="K6" s="50"/>
      <c r="L6" s="34">
        <v>0</v>
      </c>
    </row>
    <row r="7" spans="1:12" x14ac:dyDescent="0.25">
      <c r="A7" s="39">
        <v>5</v>
      </c>
      <c r="B7" s="21" t="s">
        <v>23</v>
      </c>
      <c r="C7" s="40">
        <f t="shared" si="0"/>
        <v>45977</v>
      </c>
      <c r="D7" s="25" t="s">
        <v>1</v>
      </c>
      <c r="E7" s="41" t="s">
        <v>20</v>
      </c>
      <c r="H7" s="25">
        <v>5</v>
      </c>
      <c r="I7" s="48" t="s">
        <v>29</v>
      </c>
      <c r="J7" s="49"/>
      <c r="K7" s="50"/>
      <c r="L7" s="34">
        <v>1</v>
      </c>
    </row>
    <row r="8" spans="1:12" x14ac:dyDescent="0.25">
      <c r="A8" s="39">
        <v>6</v>
      </c>
      <c r="B8" s="21" t="s">
        <v>40</v>
      </c>
      <c r="C8" s="40">
        <f t="shared" si="0"/>
        <v>45977</v>
      </c>
      <c r="D8" s="25" t="s">
        <v>1</v>
      </c>
      <c r="E8" s="41" t="s">
        <v>20</v>
      </c>
      <c r="H8" s="25">
        <v>6</v>
      </c>
      <c r="I8" s="48" t="s">
        <v>30</v>
      </c>
      <c r="J8" s="49"/>
      <c r="K8" s="50"/>
      <c r="L8" s="34">
        <v>0</v>
      </c>
    </row>
    <row r="9" spans="1:12" x14ac:dyDescent="0.25">
      <c r="A9" s="39">
        <v>7</v>
      </c>
      <c r="B9" s="21" t="s">
        <v>40</v>
      </c>
      <c r="C9" s="40">
        <f t="shared" si="0"/>
        <v>45977</v>
      </c>
      <c r="D9" s="25" t="s">
        <v>1</v>
      </c>
      <c r="E9" s="41" t="s">
        <v>20</v>
      </c>
      <c r="H9" s="16">
        <v>7</v>
      </c>
      <c r="I9" s="48" t="s">
        <v>22</v>
      </c>
      <c r="J9" s="49"/>
      <c r="K9" s="50"/>
      <c r="L9" s="34">
        <v>0</v>
      </c>
    </row>
    <row r="10" spans="1:12" x14ac:dyDescent="0.25">
      <c r="A10" s="39">
        <v>8</v>
      </c>
      <c r="B10" s="21" t="s">
        <v>34</v>
      </c>
      <c r="C10" s="40">
        <f t="shared" si="0"/>
        <v>45977</v>
      </c>
      <c r="D10" s="25" t="s">
        <v>1</v>
      </c>
      <c r="E10" s="41" t="s">
        <v>20</v>
      </c>
      <c r="H10" s="25">
        <v>8</v>
      </c>
      <c r="I10" s="48" t="s">
        <v>31</v>
      </c>
      <c r="J10" s="49"/>
      <c r="K10" s="50"/>
      <c r="L10" s="34">
        <v>0</v>
      </c>
    </row>
    <row r="11" spans="1:12" x14ac:dyDescent="0.25">
      <c r="A11" s="39">
        <v>9</v>
      </c>
      <c r="B11" s="21" t="s">
        <v>34</v>
      </c>
      <c r="C11" s="40">
        <f t="shared" si="0"/>
        <v>45977</v>
      </c>
      <c r="D11" s="25" t="s">
        <v>1</v>
      </c>
      <c r="E11" s="41" t="s">
        <v>20</v>
      </c>
      <c r="H11" s="25">
        <v>9</v>
      </c>
      <c r="I11" s="48" t="s">
        <v>34</v>
      </c>
      <c r="J11" s="49"/>
      <c r="K11" s="50"/>
      <c r="L11" s="34">
        <v>2</v>
      </c>
    </row>
    <row r="12" spans="1:12" x14ac:dyDescent="0.25">
      <c r="A12" s="39">
        <v>10</v>
      </c>
      <c r="B12" s="21" t="s">
        <v>40</v>
      </c>
      <c r="C12" s="40">
        <f t="shared" si="0"/>
        <v>45977</v>
      </c>
      <c r="D12" s="25" t="s">
        <v>1</v>
      </c>
      <c r="E12" s="41" t="s">
        <v>20</v>
      </c>
      <c r="H12" s="25">
        <v>10</v>
      </c>
      <c r="I12" s="48" t="s">
        <v>36</v>
      </c>
      <c r="J12" s="49"/>
      <c r="K12" s="50"/>
      <c r="L12" s="34">
        <v>0</v>
      </c>
    </row>
    <row r="13" spans="1:12" x14ac:dyDescent="0.25">
      <c r="A13" s="39">
        <v>11</v>
      </c>
      <c r="B13" s="21" t="s">
        <v>40</v>
      </c>
      <c r="C13" s="40">
        <f t="shared" si="0"/>
        <v>45977</v>
      </c>
      <c r="D13" s="25" t="s">
        <v>1</v>
      </c>
      <c r="E13" s="41" t="s">
        <v>20</v>
      </c>
      <c r="H13" s="25">
        <v>11</v>
      </c>
      <c r="I13" s="48" t="s">
        <v>35</v>
      </c>
      <c r="J13" s="49"/>
      <c r="K13" s="50"/>
      <c r="L13" s="34">
        <v>0</v>
      </c>
    </row>
    <row r="14" spans="1:12" x14ac:dyDescent="0.25">
      <c r="A14" s="39">
        <v>12</v>
      </c>
      <c r="B14" s="21" t="s">
        <v>40</v>
      </c>
      <c r="C14" s="40">
        <f t="shared" si="0"/>
        <v>45977</v>
      </c>
      <c r="D14" s="25" t="s">
        <v>1</v>
      </c>
      <c r="E14" s="41" t="s">
        <v>20</v>
      </c>
      <c r="H14" s="16">
        <v>12</v>
      </c>
      <c r="I14" s="48" t="s">
        <v>33</v>
      </c>
      <c r="J14" s="49"/>
      <c r="K14" s="50"/>
      <c r="L14" s="34">
        <v>1</v>
      </c>
    </row>
    <row r="15" spans="1:12" x14ac:dyDescent="0.25">
      <c r="A15" s="39">
        <v>13</v>
      </c>
      <c r="B15" s="21" t="s">
        <v>29</v>
      </c>
      <c r="C15" s="40">
        <f t="shared" si="0"/>
        <v>45977</v>
      </c>
      <c r="D15" s="25" t="s">
        <v>1</v>
      </c>
      <c r="E15" s="41" t="s">
        <v>20</v>
      </c>
      <c r="H15" s="16"/>
      <c r="I15" s="48"/>
      <c r="J15" s="49"/>
      <c r="K15" s="50"/>
      <c r="L15" s="34"/>
    </row>
    <row r="16" spans="1:12" x14ac:dyDescent="0.25">
      <c r="A16" s="39">
        <v>14</v>
      </c>
      <c r="B16" s="21" t="s">
        <v>33</v>
      </c>
      <c r="C16" s="40">
        <f t="shared" si="0"/>
        <v>45977</v>
      </c>
      <c r="D16" s="25" t="s">
        <v>1</v>
      </c>
      <c r="E16" s="41" t="s">
        <v>20</v>
      </c>
      <c r="H16" s="25"/>
      <c r="I16" s="48"/>
      <c r="J16" s="49"/>
      <c r="K16" s="50"/>
      <c r="L16" s="34"/>
    </row>
    <row r="17" spans="1:12" ht="15.75" thickBot="1" x14ac:dyDescent="0.3">
      <c r="A17" s="39">
        <v>15</v>
      </c>
      <c r="B17" s="21" t="s">
        <v>40</v>
      </c>
      <c r="C17" s="40">
        <f t="shared" si="0"/>
        <v>45977</v>
      </c>
      <c r="D17" s="25" t="s">
        <v>1</v>
      </c>
      <c r="E17" s="41" t="s">
        <v>20</v>
      </c>
      <c r="H17" s="35"/>
      <c r="I17" s="51"/>
      <c r="J17" s="52"/>
      <c r="K17" s="53"/>
      <c r="L17" s="36"/>
    </row>
    <row r="18" spans="1:12" ht="15.75" thickBot="1" x14ac:dyDescent="0.3">
      <c r="A18" s="19"/>
      <c r="B18" s="21"/>
      <c r="C18" s="5"/>
      <c r="D18" s="25"/>
      <c r="E18" s="22"/>
      <c r="H18" s="54" t="s">
        <v>32</v>
      </c>
      <c r="I18" s="55"/>
      <c r="J18" s="55"/>
      <c r="K18" s="56"/>
      <c r="L18" s="37">
        <f>SUM(L3:L14)</f>
        <v>15</v>
      </c>
    </row>
    <row r="19" spans="1:12" x14ac:dyDescent="0.25">
      <c r="A19" s="19"/>
      <c r="B19" s="21"/>
      <c r="C19" s="5"/>
      <c r="D19" s="25"/>
      <c r="E19" s="22"/>
    </row>
    <row r="20" spans="1:12" x14ac:dyDescent="0.25">
      <c r="A20" s="19"/>
      <c r="B20" s="21"/>
      <c r="C20" s="5"/>
      <c r="D20" s="25"/>
      <c r="E20" s="22"/>
    </row>
    <row r="21" spans="1:12" x14ac:dyDescent="0.25">
      <c r="A21" s="19"/>
      <c r="B21" s="21"/>
      <c r="C21" s="5"/>
      <c r="D21" s="25"/>
      <c r="E21" s="22"/>
    </row>
    <row r="22" spans="1:12" x14ac:dyDescent="0.25">
      <c r="A22" s="19"/>
      <c r="B22" s="21"/>
      <c r="C22" s="5"/>
      <c r="D22" s="25"/>
      <c r="E22" s="22"/>
    </row>
    <row r="23" spans="1:12" x14ac:dyDescent="0.25">
      <c r="A23" s="19"/>
      <c r="B23" s="21"/>
      <c r="C23" s="5"/>
      <c r="D23" s="25"/>
      <c r="E23" s="22"/>
    </row>
    <row r="24" spans="1:12" x14ac:dyDescent="0.25">
      <c r="A24" s="19"/>
      <c r="B24" s="21"/>
      <c r="C24" s="5"/>
      <c r="D24" s="25"/>
      <c r="E24" s="22"/>
    </row>
    <row r="25" spans="1:12" x14ac:dyDescent="0.25">
      <c r="A25" s="19"/>
      <c r="B25" s="21"/>
      <c r="C25" s="5"/>
      <c r="D25" s="25"/>
      <c r="E25" s="22"/>
    </row>
    <row r="26" spans="1:12" x14ac:dyDescent="0.25">
      <c r="A26" s="19"/>
      <c r="B26" s="21"/>
      <c r="C26" s="5"/>
      <c r="D26" s="25"/>
      <c r="E26" s="22"/>
    </row>
    <row r="27" spans="1:12" x14ac:dyDescent="0.25">
      <c r="A27" s="19"/>
      <c r="B27" s="23"/>
      <c r="C27" s="5"/>
      <c r="D27" s="25"/>
      <c r="E27" s="22"/>
    </row>
    <row r="28" spans="1:12" x14ac:dyDescent="0.25">
      <c r="A28" s="19"/>
      <c r="B28" s="23"/>
      <c r="C28" s="5"/>
      <c r="D28" s="25"/>
      <c r="E28" s="22"/>
    </row>
    <row r="29" spans="1:12" x14ac:dyDescent="0.25">
      <c r="A29" s="19"/>
      <c r="B29" s="23"/>
      <c r="C29" s="5"/>
      <c r="D29" s="25"/>
      <c r="E29" s="22"/>
    </row>
    <row r="30" spans="1:12" x14ac:dyDescent="0.25">
      <c r="A30" s="19"/>
      <c r="B30" s="23"/>
      <c r="C30" s="5"/>
      <c r="D30" s="25"/>
      <c r="E30" s="22"/>
    </row>
    <row r="31" spans="1:12" x14ac:dyDescent="0.25">
      <c r="A31" s="19"/>
      <c r="B31" s="23"/>
      <c r="C31" s="5"/>
      <c r="D31" s="25"/>
      <c r="E31" s="22"/>
    </row>
    <row r="32" spans="1:12" x14ac:dyDescent="0.25">
      <c r="A32" s="19"/>
      <c r="B32" s="23"/>
      <c r="C32" s="5"/>
      <c r="D32" s="25"/>
      <c r="E32" s="22"/>
    </row>
    <row r="33" spans="1:5" x14ac:dyDescent="0.25">
      <c r="A33" s="19"/>
      <c r="B33" s="21"/>
      <c r="C33" s="5"/>
      <c r="D33" s="25"/>
      <c r="E33" s="22"/>
    </row>
    <row r="34" spans="1:5" x14ac:dyDescent="0.25">
      <c r="A34" s="19"/>
      <c r="B34" s="21"/>
      <c r="C34" s="5"/>
      <c r="D34" s="25"/>
      <c r="E34" s="22"/>
    </row>
    <row r="35" spans="1:5" x14ac:dyDescent="0.25">
      <c r="A35" s="19"/>
      <c r="B35" s="21"/>
      <c r="C35" s="5"/>
      <c r="D35" s="25"/>
      <c r="E35" s="22"/>
    </row>
    <row r="36" spans="1:5" x14ac:dyDescent="0.25">
      <c r="A36" s="19"/>
      <c r="B36" s="21"/>
      <c r="C36" s="5"/>
      <c r="D36" s="25"/>
      <c r="E36" s="22"/>
    </row>
    <row r="37" spans="1:5" x14ac:dyDescent="0.25">
      <c r="A37" s="19"/>
      <c r="B37" s="21"/>
      <c r="C37" s="5"/>
      <c r="D37" s="25"/>
      <c r="E37" s="22"/>
    </row>
    <row r="38" spans="1:5" x14ac:dyDescent="0.25">
      <c r="A38" s="19">
        <v>36</v>
      </c>
      <c r="B38" s="23"/>
      <c r="C38" s="5"/>
      <c r="D38" s="25"/>
      <c r="E38" s="22"/>
    </row>
    <row r="39" spans="1:5" x14ac:dyDescent="0.25">
      <c r="A39" s="19">
        <v>37</v>
      </c>
      <c r="B39" s="23"/>
      <c r="C39" s="5"/>
      <c r="D39" s="25"/>
      <c r="E39" s="22"/>
    </row>
    <row r="40" spans="1:5" x14ac:dyDescent="0.25">
      <c r="A40" s="19">
        <v>38</v>
      </c>
      <c r="B40" s="23"/>
      <c r="C40" s="5"/>
      <c r="D40" s="25"/>
      <c r="E40" s="22"/>
    </row>
    <row r="41" spans="1:5" x14ac:dyDescent="0.25">
      <c r="A41" s="19">
        <v>39</v>
      </c>
      <c r="B41" s="23"/>
      <c r="C41" s="5"/>
      <c r="D41" s="25"/>
      <c r="E41" s="22"/>
    </row>
    <row r="42" spans="1:5" x14ac:dyDescent="0.25">
      <c r="A42" s="19">
        <v>40</v>
      </c>
      <c r="B42" s="23"/>
      <c r="C42" s="5"/>
      <c r="D42" s="25"/>
      <c r="E42" s="22"/>
    </row>
    <row r="43" spans="1:5" x14ac:dyDescent="0.25">
      <c r="A43" s="19">
        <v>41</v>
      </c>
      <c r="B43" s="23"/>
      <c r="C43" s="5"/>
      <c r="D43" s="25"/>
      <c r="E43" s="22"/>
    </row>
    <row r="44" spans="1:5" x14ac:dyDescent="0.25">
      <c r="A44" s="19">
        <v>42</v>
      </c>
      <c r="B44" s="23"/>
      <c r="C44" s="5"/>
      <c r="D44" s="25"/>
      <c r="E44" s="22"/>
    </row>
    <row r="45" spans="1:5" x14ac:dyDescent="0.25">
      <c r="A45" s="19">
        <v>43</v>
      </c>
      <c r="B45" s="23"/>
      <c r="C45" s="5"/>
      <c r="D45" s="25"/>
      <c r="E45" s="22"/>
    </row>
    <row r="46" spans="1:5" x14ac:dyDescent="0.25">
      <c r="A46" s="19">
        <v>44</v>
      </c>
      <c r="B46" s="23"/>
      <c r="C46" s="5"/>
      <c r="D46" s="25"/>
      <c r="E46" s="22"/>
    </row>
    <row r="47" spans="1:5" x14ac:dyDescent="0.25">
      <c r="A47" s="19">
        <v>45</v>
      </c>
      <c r="B47" s="23"/>
      <c r="C47" s="5"/>
      <c r="D47" s="25"/>
      <c r="E47" s="22"/>
    </row>
    <row r="48" spans="1:5" x14ac:dyDescent="0.25">
      <c r="A48" s="19">
        <v>46</v>
      </c>
      <c r="B48" s="23"/>
      <c r="C48" s="5"/>
      <c r="D48" s="25"/>
      <c r="E48" s="22"/>
    </row>
    <row r="49" spans="1:5" x14ac:dyDescent="0.25">
      <c r="A49" s="19">
        <v>47</v>
      </c>
      <c r="B49" s="23"/>
      <c r="C49" s="5"/>
      <c r="D49" s="25"/>
      <c r="E49" s="22"/>
    </row>
    <row r="50" spans="1:5" x14ac:dyDescent="0.25">
      <c r="A50" s="19">
        <v>48</v>
      </c>
      <c r="B50" s="23"/>
      <c r="C50" s="5"/>
      <c r="D50" s="25"/>
      <c r="E50" s="22"/>
    </row>
    <row r="51" spans="1:5" x14ac:dyDescent="0.25">
      <c r="A51" s="19">
        <v>49</v>
      </c>
      <c r="B51" s="23"/>
      <c r="C51" s="5"/>
      <c r="D51" s="25"/>
      <c r="E51" s="22"/>
    </row>
    <row r="52" spans="1:5" x14ac:dyDescent="0.25">
      <c r="A52" s="19">
        <v>50</v>
      </c>
      <c r="B52" s="23"/>
      <c r="C52" s="5"/>
      <c r="D52" s="25"/>
      <c r="E52" s="22"/>
    </row>
    <row r="53" spans="1:5" x14ac:dyDescent="0.25">
      <c r="A53" s="19">
        <v>51</v>
      </c>
      <c r="B53" s="23"/>
      <c r="C53" s="5"/>
      <c r="D53" s="25"/>
      <c r="E53" s="22"/>
    </row>
    <row r="54" spans="1:5" x14ac:dyDescent="0.25">
      <c r="A54" s="19">
        <v>52</v>
      </c>
      <c r="B54" s="23"/>
      <c r="C54" s="5"/>
      <c r="D54" s="25"/>
      <c r="E54" s="22"/>
    </row>
    <row r="55" spans="1:5" x14ac:dyDescent="0.25">
      <c r="A55" s="19">
        <v>53</v>
      </c>
      <c r="B55" s="23"/>
      <c r="C55" s="5"/>
      <c r="D55" s="25"/>
      <c r="E55" s="22"/>
    </row>
    <row r="56" spans="1:5" x14ac:dyDescent="0.25">
      <c r="A56" s="19">
        <v>54</v>
      </c>
      <c r="B56" s="23"/>
      <c r="C56" s="5"/>
      <c r="D56" s="25"/>
      <c r="E56" s="22"/>
    </row>
    <row r="57" spans="1:5" x14ac:dyDescent="0.25">
      <c r="A57" s="19">
        <v>55</v>
      </c>
      <c r="B57" s="23"/>
      <c r="C57" s="5"/>
      <c r="D57" s="25"/>
      <c r="E57" s="22"/>
    </row>
  </sheetData>
  <mergeCells count="19">
    <mergeCell ref="H1:L1"/>
    <mergeCell ref="I2:K2"/>
    <mergeCell ref="I3:K3"/>
    <mergeCell ref="I4:K4"/>
    <mergeCell ref="A1:E1"/>
    <mergeCell ref="I5:K5"/>
    <mergeCell ref="I6:K6"/>
    <mergeCell ref="I7:K7"/>
    <mergeCell ref="I8:K8"/>
    <mergeCell ref="I9:K9"/>
    <mergeCell ref="I15:K15"/>
    <mergeCell ref="I16:K16"/>
    <mergeCell ref="I17:K17"/>
    <mergeCell ref="H18:K18"/>
    <mergeCell ref="I10:K10"/>
    <mergeCell ref="I11:K11"/>
    <mergeCell ref="I14:K14"/>
    <mergeCell ref="I13:K13"/>
    <mergeCell ref="I12:K12"/>
  </mergeCells>
  <dataValidations count="1">
    <dataValidation type="date" allowBlank="1" showInputMessage="1" showErrorMessage="1" sqref="C2:C1048576" xr:uid="{00000000-0002-0000-0200-000002000000}">
      <formula1>44197</formula1>
      <formula2>55153</formula2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defaultColWidth="9.140625" defaultRowHeight="15" x14ac:dyDescent="0.25"/>
  <cols>
    <col min="1" max="1" width="12.28515625" style="3" bestFit="1" customWidth="1"/>
    <col min="2" max="2" width="12.28515625" style="6" bestFit="1" customWidth="1"/>
    <col min="3" max="3" width="105.85546875" style="2" bestFit="1" customWidth="1"/>
    <col min="4" max="4" width="8.28515625" bestFit="1" customWidth="1"/>
    <col min="5" max="5" width="18.85546875" bestFit="1" customWidth="1"/>
    <col min="6" max="6" width="8.5703125" style="30" bestFit="1" customWidth="1"/>
  </cols>
  <sheetData>
    <row r="1" spans="1:6" ht="15.75" x14ac:dyDescent="0.25">
      <c r="A1" s="42" t="s">
        <v>15</v>
      </c>
      <c r="B1" s="42" t="s">
        <v>16</v>
      </c>
      <c r="C1" s="43" t="s">
        <v>17</v>
      </c>
      <c r="D1" s="42" t="s">
        <v>18</v>
      </c>
      <c r="E1" s="44" t="s">
        <v>12</v>
      </c>
      <c r="F1" s="42" t="s">
        <v>19</v>
      </c>
    </row>
    <row r="2" spans="1:6" x14ac:dyDescent="0.25">
      <c r="A2" s="5">
        <v>45939</v>
      </c>
      <c r="B2" s="45" t="s">
        <v>41</v>
      </c>
      <c r="C2" s="45" t="s">
        <v>42</v>
      </c>
      <c r="D2" s="25" t="s">
        <v>44</v>
      </c>
      <c r="E2" s="16" t="s">
        <v>43</v>
      </c>
      <c r="F2" s="31"/>
    </row>
    <row r="3" spans="1:6" x14ac:dyDescent="0.25">
      <c r="A3" s="5">
        <v>45939</v>
      </c>
      <c r="B3" s="45" t="s">
        <v>45</v>
      </c>
      <c r="C3" s="45" t="s">
        <v>46</v>
      </c>
      <c r="D3" s="25" t="s">
        <v>44</v>
      </c>
      <c r="E3" s="16" t="s">
        <v>43</v>
      </c>
      <c r="F3" s="31"/>
    </row>
    <row r="4" spans="1:6" x14ac:dyDescent="0.25">
      <c r="A4" s="5"/>
      <c r="B4" s="15"/>
      <c r="C4" s="15"/>
      <c r="D4" s="15"/>
      <c r="E4" s="15"/>
      <c r="F4" s="31"/>
    </row>
    <row r="5" spans="1:6" x14ac:dyDescent="0.25">
      <c r="A5" s="5"/>
      <c r="B5" s="15"/>
      <c r="C5" s="15"/>
      <c r="D5" s="15"/>
      <c r="E5" s="15"/>
      <c r="F5" s="31"/>
    </row>
    <row r="6" spans="1:6" x14ac:dyDescent="0.25">
      <c r="A6" s="5"/>
      <c r="B6" s="15"/>
      <c r="C6" s="15"/>
      <c r="D6" s="15"/>
      <c r="E6" s="15"/>
      <c r="F6" s="31"/>
    </row>
    <row r="7" spans="1:6" x14ac:dyDescent="0.25">
      <c r="A7" s="5"/>
      <c r="B7" s="15"/>
      <c r="C7" s="15"/>
      <c r="D7" s="15"/>
      <c r="E7" s="15"/>
      <c r="F7" s="31"/>
    </row>
    <row r="8" spans="1:6" x14ac:dyDescent="0.25">
      <c r="A8" s="5"/>
      <c r="B8" s="15"/>
      <c r="C8" s="15"/>
      <c r="D8" s="15"/>
      <c r="E8" s="15"/>
      <c r="F8" s="31"/>
    </row>
    <row r="9" spans="1:6" x14ac:dyDescent="0.25">
      <c r="A9" s="5"/>
      <c r="B9" s="15"/>
      <c r="C9" s="15"/>
      <c r="D9" s="15"/>
      <c r="E9" s="15"/>
      <c r="F9" s="31"/>
    </row>
    <row r="10" spans="1:6" x14ac:dyDescent="0.25">
      <c r="A10" s="5"/>
      <c r="B10" s="15"/>
      <c r="C10" s="15"/>
      <c r="D10" s="15"/>
      <c r="E10" s="15"/>
      <c r="F10" s="31"/>
    </row>
    <row r="11" spans="1:6" x14ac:dyDescent="0.25">
      <c r="A11" s="5"/>
      <c r="B11" s="15"/>
      <c r="C11" s="15"/>
      <c r="D11" s="15"/>
      <c r="E11" s="15"/>
      <c r="F11" s="31"/>
    </row>
    <row r="12" spans="1:6" x14ac:dyDescent="0.25">
      <c r="A12" s="5"/>
      <c r="B12" s="15"/>
      <c r="C12" s="15"/>
      <c r="D12" s="15"/>
      <c r="E12" s="15"/>
      <c r="F12" s="31"/>
    </row>
    <row r="13" spans="1:6" x14ac:dyDescent="0.25">
      <c r="A13" s="5"/>
      <c r="B13" s="15"/>
      <c r="C13" s="15"/>
      <c r="D13" s="15"/>
      <c r="E13" s="15"/>
      <c r="F13" s="31"/>
    </row>
    <row r="14" spans="1:6" x14ac:dyDescent="0.25">
      <c r="A14" s="5"/>
      <c r="B14" s="15"/>
      <c r="C14" s="15"/>
      <c r="D14" s="15"/>
      <c r="E14" s="15"/>
      <c r="F14" s="31"/>
    </row>
    <row r="15" spans="1:6" x14ac:dyDescent="0.25">
      <c r="A15" s="5"/>
      <c r="B15" s="15"/>
      <c r="C15" s="15"/>
      <c r="D15" s="15"/>
      <c r="E15" s="15"/>
      <c r="F15" s="31"/>
    </row>
  </sheetData>
  <phoneticPr fontId="9" type="noConversion"/>
  <dataValidations count="3">
    <dataValidation type="date" allowBlank="1" showInputMessage="1" showErrorMessage="1" sqref="A1:A1048576" xr:uid="{00000000-0002-0000-0300-000000000000}">
      <formula1>44197</formula1>
      <formula2>55153</formula2>
    </dataValidation>
    <dataValidation type="list" allowBlank="1" showInputMessage="1" showErrorMessage="1" sqref="E2:E1048576" xr:uid="{00000000-0002-0000-0300-000002000000}">
      <formula1>"Waiting For Support, Waiting For Customer, Waiting for Deployment, In Progress, Open, Closed"</formula1>
    </dataValidation>
    <dataValidation type="list" allowBlank="1" showInputMessage="1" showErrorMessage="1" sqref="D4:D1048576 D1 E2:E3" xr:uid="{00000000-0002-0000-0300-000001000000}">
      <formula1>"Critical, Major, Minor, High, Highest"</formula1>
    </dataValidation>
  </dataValidations>
  <hyperlinks>
    <hyperlink ref="B2" r:id="rId1" display="https://konasl.atlassian.net/servicedesk/customer/portal/3/NAGAD-1784" xr:uid="{BF7160D1-F7E3-44ED-9175-40155055EF30}"/>
    <hyperlink ref="C2" r:id="rId2" display="https://konasl.atlassian.net/servicedesk/customer/portal/3/NAGAD-1784" xr:uid="{CFDD0950-DCF7-4688-BDF6-1AE1760DD313}"/>
    <hyperlink ref="B3" r:id="rId3" display="https://konasl.atlassian.net/servicedesk/customer/portal/3/NAGAD-1783" xr:uid="{3683D9EA-5985-469E-8FF5-DE3A0F885C8B}"/>
    <hyperlink ref="C3" r:id="rId4" display="https://konasl.atlassian.net/servicedesk/customer/portal/3/NAGAD-1783" xr:uid="{DF80D111-1552-49B4-BAE3-D7FB0A1D6C4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Email Tasks</vt:lpstr>
      <vt:lpstr>Nagad STC &amp; NS TechOps</vt:lpstr>
      <vt:lpstr>Service Desk New Tickets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2025-11-16T19:26:21Z</dcterms:modified>
  <cp:category/>
  <cp:contentStatus/>
</cp:coreProperties>
</file>