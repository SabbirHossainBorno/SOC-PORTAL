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https://nagadbd-my.sharepoint.com/personal/raiyan_mohsin_nagad_com_bd/Documents/Downloads/FW_ Fee-Comm Requirements/"/>
    </mc:Choice>
  </mc:AlternateContent>
  <xr:revisionPtr revIDLastSave="534" documentId="11_C70FF282AC8C4744BCEE97CECD9E4EE8A4476B81" xr6:coauthVersionLast="47" xr6:coauthVersionMax="47" xr10:uidLastSave="{B686255B-A381-4D93-AE4E-E7B7BB52F5A5}"/>
  <bookViews>
    <workbookView xWindow="-110" yWindow="-110" windowWidth="19420" windowHeight="10300" xr2:uid="{00000000-000D-0000-FFFF-FFFF0000000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1" l="1"/>
  <c r="V9" i="2"/>
  <c r="J10" i="2"/>
  <c r="J12" i="2"/>
  <c r="AG35" i="1" l="1"/>
  <c r="AG33" i="1"/>
  <c r="AG31" i="1"/>
  <c r="AG29" i="1"/>
  <c r="AG27" i="1"/>
  <c r="AG25" i="1"/>
  <c r="AG23" i="1"/>
  <c r="AG21" i="1"/>
  <c r="AG19" i="1"/>
  <c r="AG17" i="1"/>
  <c r="AG15" i="1"/>
  <c r="AG13" i="1"/>
  <c r="AG11" i="1"/>
  <c r="AG9" i="1"/>
  <c r="AG7" i="1"/>
  <c r="AG5" i="1"/>
  <c r="Y35" i="1"/>
  <c r="Y33" i="1"/>
  <c r="Y31" i="1"/>
  <c r="Y29" i="1"/>
  <c r="Y27" i="1"/>
  <c r="Y25" i="1"/>
  <c r="Y23" i="1"/>
  <c r="Y21" i="1"/>
  <c r="Y19" i="1"/>
  <c r="Y17" i="1"/>
  <c r="Y15" i="1"/>
  <c r="Y13" i="1"/>
  <c r="Y11" i="1"/>
  <c r="Y9" i="1"/>
  <c r="Y7" i="1"/>
  <c r="Y5" i="1"/>
  <c r="E35" i="1" l="1"/>
  <c r="AY34" i="1"/>
  <c r="S34" i="1" s="1"/>
  <c r="V34" i="1"/>
  <c r="E33" i="1"/>
  <c r="BI33" i="1" s="1"/>
  <c r="V32" i="1"/>
  <c r="E31" i="1"/>
  <c r="AY30" i="1"/>
  <c r="V30" i="1"/>
  <c r="S30" i="1"/>
  <c r="E29" i="1"/>
  <c r="BI29" i="1" s="1"/>
  <c r="V28" i="1"/>
  <c r="E27" i="1"/>
  <c r="AY26" i="1"/>
  <c r="S26" i="1" s="1"/>
  <c r="V26" i="1"/>
  <c r="E25" i="1"/>
  <c r="V24" i="1"/>
  <c r="E23" i="1"/>
  <c r="AY22" i="1"/>
  <c r="S22" i="1" s="1"/>
  <c r="V22" i="1"/>
  <c r="E21" i="1"/>
  <c r="V20" i="1"/>
  <c r="AY18" i="1"/>
  <c r="V18" i="1"/>
  <c r="S18" i="1"/>
  <c r="E17" i="1"/>
  <c r="V16" i="1"/>
  <c r="E15" i="1"/>
  <c r="AY14" i="1"/>
  <c r="S14" i="1" s="1"/>
  <c r="V14" i="1"/>
  <c r="E13" i="1"/>
  <c r="V12" i="1"/>
  <c r="E11" i="1"/>
  <c r="AY10" i="1"/>
  <c r="S10" i="1" s="1"/>
  <c r="V10" i="1"/>
  <c r="E9" i="1"/>
  <c r="V8" i="1"/>
  <c r="AY6" i="1"/>
  <c r="S6" i="1" s="1"/>
  <c r="BI35" i="1" l="1"/>
  <c r="V31" i="1"/>
  <c r="BI31" i="1"/>
  <c r="BI27" i="1"/>
  <c r="I25" i="1"/>
  <c r="BI25" i="1"/>
  <c r="V23" i="1"/>
  <c r="BA23" i="1" s="1"/>
  <c r="BI23" i="1"/>
  <c r="BC21" i="1"/>
  <c r="BI21" i="1"/>
  <c r="I19" i="1"/>
  <c r="BI19" i="1"/>
  <c r="T17" i="1"/>
  <c r="BI17" i="1"/>
  <c r="BI15" i="1"/>
  <c r="BI13" i="1"/>
  <c r="BI11" i="1"/>
  <c r="BI9" i="1"/>
  <c r="I33" i="1"/>
  <c r="T33" i="1"/>
  <c r="BC33" i="1"/>
  <c r="T29" i="1"/>
  <c r="V33" i="1"/>
  <c r="I35" i="1"/>
  <c r="T35" i="1"/>
  <c r="BC35" i="1"/>
  <c r="BC29" i="1"/>
  <c r="V35" i="1"/>
  <c r="I29" i="1"/>
  <c r="V29" i="1"/>
  <c r="BA31" i="1"/>
  <c r="I31" i="1"/>
  <c r="BC17" i="1"/>
  <c r="BC31" i="1"/>
  <c r="V19" i="1"/>
  <c r="I17" i="1"/>
  <c r="T31" i="1"/>
  <c r="AU31" i="1" s="1"/>
  <c r="AU30" i="1" s="1"/>
  <c r="BM30" i="1" s="1"/>
  <c r="I21" i="1"/>
  <c r="T25" i="1"/>
  <c r="BC25" i="1"/>
  <c r="T21" i="1"/>
  <c r="V25" i="1"/>
  <c r="V21" i="1"/>
  <c r="I27" i="1"/>
  <c r="T27" i="1"/>
  <c r="BC27" i="1"/>
  <c r="BC19" i="1"/>
  <c r="V27" i="1"/>
  <c r="T23" i="1"/>
  <c r="I23" i="1"/>
  <c r="BC23" i="1"/>
  <c r="T19" i="1"/>
  <c r="I13" i="1"/>
  <c r="V17" i="1"/>
  <c r="T13" i="1"/>
  <c r="V13" i="1"/>
  <c r="BC13" i="1"/>
  <c r="T15" i="1"/>
  <c r="BC15" i="1"/>
  <c r="I15" i="1"/>
  <c r="V15" i="1"/>
  <c r="T9" i="1"/>
  <c r="I11" i="1"/>
  <c r="T11" i="1"/>
  <c r="BC11" i="1"/>
  <c r="I9" i="1"/>
  <c r="V11" i="1"/>
  <c r="BC9" i="1"/>
  <c r="V9" i="1"/>
  <c r="O3" i="2"/>
  <c r="O5" i="2" s="1"/>
  <c r="O15" i="2" s="1"/>
  <c r="R15" i="2" s="1"/>
  <c r="O3" i="3"/>
  <c r="O5" i="3" s="1"/>
  <c r="O15" i="3" s="1"/>
  <c r="R15" i="3" s="1"/>
  <c r="H42" i="3"/>
  <c r="H43" i="3" s="1"/>
  <c r="J43" i="3" s="1"/>
  <c r="G42" i="3"/>
  <c r="G43" i="3" s="1"/>
  <c r="G38" i="3"/>
  <c r="G37" i="3"/>
  <c r="G34" i="3"/>
  <c r="V24" i="3"/>
  <c r="H21" i="3"/>
  <c r="N14" i="3"/>
  <c r="N16" i="3" s="1"/>
  <c r="F14" i="3"/>
  <c r="F16" i="3" s="1"/>
  <c r="G5" i="3"/>
  <c r="G8" i="3" s="1"/>
  <c r="H43" i="2"/>
  <c r="J43" i="2" s="1"/>
  <c r="J44" i="2" s="1"/>
  <c r="J42" i="2"/>
  <c r="H42" i="2"/>
  <c r="I42" i="2" s="1"/>
  <c r="G42" i="2"/>
  <c r="G43" i="2" s="1"/>
  <c r="G38" i="2"/>
  <c r="G37" i="2"/>
  <c r="G34" i="2"/>
  <c r="V24" i="2"/>
  <c r="H21" i="2"/>
  <c r="N14" i="2"/>
  <c r="N16" i="2" s="1"/>
  <c r="F14" i="2"/>
  <c r="F16" i="2" s="1"/>
  <c r="G5" i="2"/>
  <c r="G9" i="2" s="1"/>
  <c r="AU23" i="1" l="1"/>
  <c r="AU22" i="1" s="1"/>
  <c r="BM22" i="1" s="1"/>
  <c r="BA19" i="1"/>
  <c r="AU19" i="1" s="1"/>
  <c r="AU18" i="1" s="1"/>
  <c r="BM18" i="1" s="1"/>
  <c r="BA33" i="1"/>
  <c r="AU33" i="1" s="1"/>
  <c r="AU32" i="1" s="1"/>
  <c r="BM32" i="1" s="1"/>
  <c r="BA29" i="1"/>
  <c r="AU29" i="1" s="1"/>
  <c r="BA35" i="1"/>
  <c r="AU35" i="1" s="1"/>
  <c r="AU34" i="1" s="1"/>
  <c r="BM34" i="1" s="1"/>
  <c r="BM31" i="1"/>
  <c r="BN31" i="1" s="1"/>
  <c r="BA25" i="1"/>
  <c r="AU25" i="1" s="1"/>
  <c r="AU24" i="1" s="1"/>
  <c r="BM24" i="1" s="1"/>
  <c r="BA21" i="1"/>
  <c r="AU21" i="1" s="1"/>
  <c r="BA27" i="1"/>
  <c r="AU27" i="1" s="1"/>
  <c r="AU26" i="1" s="1"/>
  <c r="BM26" i="1" s="1"/>
  <c r="BA17" i="1"/>
  <c r="AU17" i="1" s="1"/>
  <c r="AU16" i="1" s="1"/>
  <c r="BM16" i="1" s="1"/>
  <c r="BA13" i="1"/>
  <c r="AU13" i="1" s="1"/>
  <c r="AU12" i="1" s="1"/>
  <c r="BM12" i="1" s="1"/>
  <c r="BA15" i="1"/>
  <c r="AU15" i="1" s="1"/>
  <c r="AU14" i="1" s="1"/>
  <c r="BM14" i="1" s="1"/>
  <c r="BA9" i="1"/>
  <c r="AU9" i="1" s="1"/>
  <c r="AU8" i="1" s="1"/>
  <c r="BM8" i="1" s="1"/>
  <c r="BA11" i="1"/>
  <c r="AU11" i="1" s="1"/>
  <c r="AU10" i="1" s="1"/>
  <c r="BM10" i="1" s="1"/>
  <c r="G11" i="3"/>
  <c r="I11" i="3" s="1"/>
  <c r="J11" i="3" s="1"/>
  <c r="K11" i="3" s="1"/>
  <c r="G12" i="3"/>
  <c r="J12" i="3" s="1"/>
  <c r="L12" i="3" s="1"/>
  <c r="G4" i="3"/>
  <c r="O9" i="3"/>
  <c r="Q9" i="3" s="1"/>
  <c r="R9" i="3" s="1"/>
  <c r="T9" i="3" s="1"/>
  <c r="O10" i="3"/>
  <c r="Q10" i="3" s="1"/>
  <c r="R10" i="3" s="1"/>
  <c r="G13" i="3"/>
  <c r="J13" i="3" s="1"/>
  <c r="K13" i="3" s="1"/>
  <c r="G9" i="3"/>
  <c r="I9" i="3" s="1"/>
  <c r="J9" i="3" s="1"/>
  <c r="O8" i="2"/>
  <c r="Q8" i="2" s="1"/>
  <c r="R8" i="2" s="1"/>
  <c r="O9" i="2"/>
  <c r="O11" i="2"/>
  <c r="O12" i="2"/>
  <c r="R12" i="2" s="1"/>
  <c r="T12" i="2" s="1"/>
  <c r="O13" i="2"/>
  <c r="R13" i="2" s="1"/>
  <c r="S13" i="2" s="1"/>
  <c r="O4" i="2"/>
  <c r="O14" i="2"/>
  <c r="R14" i="2" s="1"/>
  <c r="S14" i="2" s="1"/>
  <c r="G12" i="2"/>
  <c r="L12" i="2" s="1"/>
  <c r="G4" i="2"/>
  <c r="G10" i="2"/>
  <c r="I10" i="2" s="1"/>
  <c r="G15" i="2"/>
  <c r="J15" i="2" s="1"/>
  <c r="K15" i="2" s="1"/>
  <c r="G11" i="2"/>
  <c r="G14" i="2"/>
  <c r="J14" i="2" s="1"/>
  <c r="L14" i="2" s="1"/>
  <c r="G8" i="2"/>
  <c r="I8" i="2" s="1"/>
  <c r="G13" i="2"/>
  <c r="J13" i="2" s="1"/>
  <c r="L13" i="2" s="1"/>
  <c r="I8" i="3"/>
  <c r="J8" i="3" s="1"/>
  <c r="S15" i="3"/>
  <c r="T15" i="3"/>
  <c r="W15" i="3" s="1"/>
  <c r="I42" i="3"/>
  <c r="O4" i="3"/>
  <c r="O8" i="3"/>
  <c r="G14" i="3"/>
  <c r="J14" i="3" s="1"/>
  <c r="G10" i="3"/>
  <c r="G15" i="3"/>
  <c r="J15" i="3" s="1"/>
  <c r="J42" i="3"/>
  <c r="J44" i="3" s="1"/>
  <c r="O11" i="3"/>
  <c r="O12" i="3"/>
  <c r="R12" i="3" s="1"/>
  <c r="O13" i="3"/>
  <c r="R13" i="3" s="1"/>
  <c r="O14" i="3"/>
  <c r="R14" i="3" s="1"/>
  <c r="S15" i="2"/>
  <c r="T15" i="2"/>
  <c r="W15" i="2" s="1"/>
  <c r="I9" i="2"/>
  <c r="J9" i="2" s="1"/>
  <c r="O10" i="2"/>
  <c r="AU28" i="1" l="1"/>
  <c r="BM28" i="1" s="1"/>
  <c r="BM29" i="1"/>
  <c r="BN29" i="1" s="1"/>
  <c r="BM23" i="1"/>
  <c r="BN23" i="1" s="1"/>
  <c r="AU20" i="1"/>
  <c r="BM20" i="1" s="1"/>
  <c r="BM21" i="1"/>
  <c r="BN21" i="1" s="1"/>
  <c r="Q11" i="2"/>
  <c r="R11" i="2"/>
  <c r="Q9" i="2"/>
  <c r="R9" i="2"/>
  <c r="I11" i="2"/>
  <c r="J11" i="2"/>
  <c r="BM33" i="1"/>
  <c r="BN33" i="1" s="1"/>
  <c r="BM35" i="1"/>
  <c r="BN35" i="1" s="1"/>
  <c r="BM19" i="1"/>
  <c r="BN19" i="1" s="1"/>
  <c r="BM13" i="1"/>
  <c r="BN13" i="1" s="1"/>
  <c r="BM25" i="1"/>
  <c r="BN25" i="1" s="1"/>
  <c r="BM27" i="1"/>
  <c r="BN27" i="1" s="1"/>
  <c r="BM17" i="1"/>
  <c r="BN17" i="1" s="1"/>
  <c r="BM15" i="1"/>
  <c r="BN15" i="1" s="1"/>
  <c r="BM9" i="1"/>
  <c r="BN9" i="1" s="1"/>
  <c r="BM11" i="1"/>
  <c r="BN11" i="1" s="1"/>
  <c r="S9" i="3"/>
  <c r="K12" i="3"/>
  <c r="L13" i="3"/>
  <c r="K13" i="2"/>
  <c r="S12" i="2"/>
  <c r="K12" i="2"/>
  <c r="L11" i="3"/>
  <c r="T13" i="2"/>
  <c r="K14" i="2"/>
  <c r="L10" i="2"/>
  <c r="T14" i="2"/>
  <c r="S24" i="2"/>
  <c r="L15" i="2"/>
  <c r="V15" i="2" s="1"/>
  <c r="G16" i="2"/>
  <c r="O16" i="2"/>
  <c r="J8" i="2"/>
  <c r="K8" i="2" s="1"/>
  <c r="L9" i="3"/>
  <c r="K9" i="3"/>
  <c r="K8" i="3"/>
  <c r="V8" i="3" s="1"/>
  <c r="L8" i="3"/>
  <c r="L15" i="3"/>
  <c r="K15" i="3"/>
  <c r="I10" i="3"/>
  <c r="J10" i="3" s="1"/>
  <c r="L14" i="3"/>
  <c r="K14" i="3"/>
  <c r="K24" i="3" s="1"/>
  <c r="S13" i="3"/>
  <c r="T13" i="3"/>
  <c r="Q8" i="3"/>
  <c r="R8" i="3" s="1"/>
  <c r="G16" i="3"/>
  <c r="T10" i="3"/>
  <c r="S10" i="3"/>
  <c r="W10" i="3" s="1"/>
  <c r="T14" i="3"/>
  <c r="S14" i="3"/>
  <c r="S12" i="3"/>
  <c r="T12" i="3"/>
  <c r="Q11" i="3"/>
  <c r="R11" i="3" s="1"/>
  <c r="T8" i="2"/>
  <c r="S8" i="2"/>
  <c r="K9" i="2"/>
  <c r="Q10" i="2"/>
  <c r="R10" i="2" s="1"/>
  <c r="S18" i="2"/>
  <c r="S9" i="2"/>
  <c r="W9" i="2" l="1"/>
  <c r="T9" i="2"/>
  <c r="L9" i="2"/>
  <c r="L8" i="2"/>
  <c r="K10" i="2"/>
  <c r="K24" i="2"/>
  <c r="K26" i="2" s="1"/>
  <c r="S18" i="3"/>
  <c r="S24" i="3"/>
  <c r="K26" i="3" s="1"/>
  <c r="S11" i="2"/>
  <c r="J16" i="2"/>
  <c r="K11" i="2"/>
  <c r="S11" i="3"/>
  <c r="T11" i="3"/>
  <c r="L10" i="3"/>
  <c r="K10" i="3"/>
  <c r="V10" i="3" s="1"/>
  <c r="T8" i="3"/>
  <c r="S8" i="3"/>
  <c r="W8" i="3" s="1"/>
  <c r="N26" i="3"/>
  <c r="O26" i="3" s="1"/>
  <c r="V15" i="3"/>
  <c r="S10" i="2"/>
  <c r="T10" i="2"/>
  <c r="R16" i="2"/>
  <c r="T11" i="2" l="1"/>
  <c r="W11" i="2"/>
  <c r="V11" i="2"/>
  <c r="L11" i="2"/>
  <c r="G30" i="3"/>
  <c r="G31" i="3" s="1"/>
  <c r="K16" i="2"/>
  <c r="G30" i="2"/>
  <c r="G32" i="2" s="1"/>
  <c r="S16" i="2"/>
  <c r="G32" i="3" l="1"/>
  <c r="G35" i="3" s="1"/>
  <c r="G31" i="2"/>
  <c r="G35" i="2"/>
  <c r="G33" i="2"/>
  <c r="G33" i="3" l="1"/>
  <c r="V6" i="1" l="1"/>
  <c r="V4" i="1"/>
  <c r="E7" i="1"/>
  <c r="E5" i="1"/>
  <c r="I5" i="1" s="1"/>
  <c r="V5" i="1" l="1"/>
  <c r="BI7" i="1"/>
  <c r="BC7" i="1"/>
  <c r="BC5" i="1"/>
  <c r="I7" i="1"/>
  <c r="V7" i="1"/>
  <c r="T5" i="1"/>
  <c r="T7" i="1"/>
  <c r="BA5" i="1" l="1"/>
  <c r="BA7" i="1"/>
  <c r="AU7" i="1" s="1"/>
  <c r="AU6" i="1" s="1"/>
  <c r="BI5" i="1" l="1"/>
  <c r="AU5" i="1" s="1"/>
  <c r="BM6" i="1"/>
  <c r="BM7" i="1"/>
  <c r="BN7" i="1" s="1"/>
  <c r="BM5" i="1" l="1"/>
  <c r="BN5" i="1" s="1"/>
  <c r="AU4" i="1"/>
  <c r="BM4" i="1" s="1"/>
</calcChain>
</file>

<file path=xl/sharedStrings.xml><?xml version="1.0" encoding="utf-8"?>
<sst xmlns="http://schemas.openxmlformats.org/spreadsheetml/2006/main" count="329" uniqueCount="91">
  <si>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</si>
  <si>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</si>
  <si>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</si>
  <si>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</si>
  <si>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</si>
  <si>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</si>
  <si>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</si>
  <si>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</si>
  <si>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</si>
  <si>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</si>
  <si>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</si>
  <si>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</si>
  <si>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</si>
  <si>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</si>
  <si>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</si>
  <si>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</si>
  <si>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</si>
  <si>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</si>
  <si>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</si>
  <si>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</si>
  <si>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</si>
  <si>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</si>
  <si>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</si>
  <si>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</si>
  <si>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</si>
  <si>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</si>
  <si>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</si>
  <si>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</si>
  <si>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</si>
  <si>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</si>
  <si>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</si>
  <si>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</si>
  <si>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</si>
  <si>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</si>
  <si>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</si>
  <si>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</si>
  <si>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Daily</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</si>
  <si>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</si>
  <si>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</si>
  <si>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</si>
  <si>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</si>
  <si>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</si>
  <si>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</si>
  <si>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</si>
  <si>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</si>
  <si>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</si>
  <si>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</si>
  <si>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</si>
  <si>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</si>
  <si>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</si>
  <si>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</si>
  <si>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</si>
  <si>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</si>
  <si>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</si>
  <si>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</si>
  <si>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</si>
  <si>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</si>
  <si>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</si>
  <si>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</si>
  <si>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</si>
  <si>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</si>
  <si>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</si>
  <si>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</si>
  <si>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</si>
  <si>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</si>
  <si>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</si>
  <si>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</si>
  <si>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</si>
  <si>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</si>
  <si>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</si>
  <si>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</si>
  <si>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</si>
  <si>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</si>
  <si>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</si>
  <si>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</si>
  <si>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</si>
  <si>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</si>
  <si>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</si>
  <si>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</si>
  <si>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</si>
  <si>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</si>
  <si>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</si>
  <si>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</si>
  <si>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t>National Polymer Industries PLC
(Uddokta Initiated)
Upto BDT 9,999.99</t>
  </si>
  <si>
    <t>National Polymer Industries PLC
(Uddokta Initiated)
from 10,000.00 to BDT 19,999.99</t>
  </si>
  <si>
    <t>National Polymer Industries PLC
(Uddokta Initiated)
from 20,000.00 to BDT 49,999.99</t>
  </si>
  <si>
    <t>National Polymer Industries PLC
(Uddokta Initiated)
from 50,000.00 to BDT 100,000.99</t>
  </si>
  <si>
    <t>National Polymer Industries PLC
(Uddokta Initiated)
from 100,001.00 to BDT 200,000.99</t>
  </si>
  <si>
    <t>National Polymer Industries PLC
(Uddokta Initiated)
from 200,001.00 to BDT 300,000.99</t>
  </si>
  <si>
    <t>National Polymer Industries PLC
(Uddokta Initiated)
from 300,001.00 to BDT 400,000.99</t>
  </si>
  <si>
    <t>National Polymer Industries PLC
(Uddokta Initiated)
Above BDT 400,001.00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</si>
</sst>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0"/>
    <numFmt numFmtId="165" formatCode="0.000000"/>
    <numFmt numFmtId="166" formatCode="0.0000%"/>
    <numFmt numFmtId="167" formatCode="0.000"/>
    <numFmt numFmtId="168" formatCode="0.00000000000000000%"/>
    <numFmt numFmtId="169" formatCode="0.000000%"/>
    <numFmt numFmtId="170" formatCode="_(* #,##0.0000_);_(* \(#,##0.0000\);_(* &quot;-&quot;??_);_(@_)"/>
    <numFmt numFmtId="171" formatCode="0.000%"/>
    <numFmt numFmtId="172" formatCode="0.000000000000000000%"/>
    <numFmt numFmtId="173" formatCode="_(* #,##0_);_(* \(#,##0\);_(* &quot;-&quot;??_);_(@_)"/>
    <numFmt numFmtId="174" formatCode="0.0%"/>
    <numFmt numFmtId="175" formatCode="0.0000000000000000%"/>
    <numFmt numFmtId="176" formatCode="0.00000000%"/>
    <numFmt numFmtId="177" formatCode="_(* #,##0.0_);_(* \(#,##0.0\);_(* &quot;-&quot;??_);_(@_)"/>
  </numFmts>
  <fonts count="30"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s>
  <fills count="23">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s>
  <borders count="39">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6">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43" fontId="1" fillId="0" borderId="0" applyFont="0" applyFill="0" applyBorder="0" applyAlignment="0" applyProtection="0"/>
    <xf numFmtId="9" fontId="1" fillId="0" borderId="0" applyFont="0" applyFill="0" applyBorder="0" applyAlignment="0" applyProtection="0"/>
  </cellStyleXfs>
  <cellXfs count="191">
    <xf numFmtId="0" fontId="0" fillId="0" borderId="0" xfId="0"/>
    <xf numFmtId="0" fontId="1" fillId="6" borderId="3" xfId="0" applyFont="1" applyFill="1" applyBorder="1" applyAlignment="1">
      <alignment horizontal="center" vertical="center"/>
    </xf>
    <xf numFmtId="2" fontId="0" fillId="0" borderId="0" xfId="5" applyNumberFormat="1" applyFont="1"/>
    <xf numFmtId="0" fontId="9" fillId="0" borderId="0" xfId="0" applyFont="1"/>
    <xf numFmtId="0" fontId="10" fillId="0" borderId="0" xfId="0" applyFont="1"/>
    <xf numFmtId="0" fontId="6" fillId="8" borderId="4" xfId="1" applyFont="1" applyFill="1" applyBorder="1" applyAlignment="1">
      <alignment horizontal="center" vertical="center" wrapText="1"/>
    </xf>
    <xf numFmtId="0" fontId="11" fillId="11" borderId="12" xfId="1" applyFont="1" applyFill="1" applyBorder="1" applyAlignment="1">
      <alignment horizontal="center" vertical="center" wrapText="1"/>
    </xf>
    <xf numFmtId="0" fontId="0" fillId="15" borderId="0" xfId="0" applyFill="1"/>
    <xf numFmtId="0" fontId="7" fillId="3" borderId="6" xfId="3" applyFont="1" applyBorder="1" applyAlignment="1">
      <alignment horizontal="center" vertical="center"/>
    </xf>
    <xf numFmtId="0" fontId="7" fillId="3" borderId="7" xfId="3" applyFont="1" applyBorder="1" applyAlignment="1">
      <alignment horizontal="center" vertical="center" wrapText="1"/>
    </xf>
    <xf numFmtId="0" fontId="8" fillId="10" borderId="7" xfId="2" applyFont="1" applyFill="1" applyBorder="1" applyAlignment="1">
      <alignment horizontal="center" vertical="center" wrapText="1"/>
    </xf>
    <xf numFmtId="0" fontId="8" fillId="10" borderId="7" xfId="2" applyFont="1" applyFill="1" applyBorder="1" applyAlignment="1">
      <alignment horizontal="center" vertical="center"/>
    </xf>
    <xf numFmtId="0" fontId="8" fillId="10" borderId="19" xfId="2" applyFont="1" applyFill="1" applyBorder="1" applyAlignment="1">
      <alignment horizontal="center" vertical="center"/>
    </xf>
    <xf numFmtId="2" fontId="8" fillId="10" borderId="19" xfId="5" applyNumberFormat="1" applyFont="1" applyFill="1" applyBorder="1" applyAlignment="1">
      <alignment horizontal="center" vertical="center" wrapText="1"/>
    </xf>
    <xf numFmtId="2" fontId="8" fillId="10" borderId="7" xfId="5" applyNumberFormat="1" applyFont="1" applyFill="1" applyBorder="1" applyAlignment="1">
      <alignment horizontal="center" vertical="center" wrapText="1"/>
    </xf>
    <xf numFmtId="0" fontId="3" fillId="2" borderId="7" xfId="2" applyBorder="1" applyAlignment="1">
      <alignment horizontal="center" vertical="center" wrapText="1"/>
    </xf>
    <xf numFmtId="0" fontId="10" fillId="7" borderId="7" xfId="2" applyFont="1" applyFill="1" applyBorder="1" applyAlignment="1">
      <alignment horizontal="center" vertical="center" wrapText="1"/>
    </xf>
    <xf numFmtId="2" fontId="3" fillId="2" borderId="7" xfId="5" applyNumberFormat="1" applyFont="1" applyFill="1" applyBorder="1" applyAlignment="1">
      <alignment horizontal="center" vertical="center" wrapText="1"/>
    </xf>
    <xf numFmtId="0" fontId="3" fillId="2" borderId="7" xfId="2" applyBorder="1" applyAlignment="1">
      <alignment horizontal="center" vertical="center"/>
    </xf>
    <xf numFmtId="0" fontId="3" fillId="2" borderId="8" xfId="2" applyBorder="1" applyAlignment="1">
      <alignment horizontal="center" vertical="center" wrapText="1"/>
    </xf>
    <xf numFmtId="10" fontId="1" fillId="6" borderId="3" xfId="5" applyNumberFormat="1" applyFont="1" applyFill="1" applyBorder="1" applyAlignment="1">
      <alignment horizontal="center" vertical="center"/>
    </xf>
    <xf numFmtId="2" fontId="1" fillId="6" borderId="3" xfId="0" applyNumberFormat="1" applyFont="1" applyFill="1" applyBorder="1" applyAlignment="1">
      <alignment horizontal="center" vertical="center"/>
    </xf>
    <xf numFmtId="9" fontId="1" fillId="6" borderId="3" xfId="0" applyNumberFormat="1" applyFont="1" applyFill="1" applyBorder="1" applyAlignment="1">
      <alignment horizontal="center" vertical="center"/>
    </xf>
    <xf numFmtId="165" fontId="1" fillId="6" borderId="3" xfId="5" applyNumberFormat="1" applyFont="1" applyFill="1" applyBorder="1" applyAlignment="1">
      <alignment horizontal="center" vertical="center"/>
    </xf>
    <xf numFmtId="10" fontId="1" fillId="6" borderId="3" xfId="0" applyNumberFormat="1" applyFont="1" applyFill="1" applyBorder="1" applyAlignment="1">
      <alignment horizontal="center" vertical="center"/>
    </xf>
    <xf numFmtId="0" fontId="12" fillId="6" borderId="3" xfId="0" applyFont="1" applyFill="1" applyBorder="1" applyAlignment="1">
      <alignment horizontal="center" vertical="center"/>
    </xf>
    <xf numFmtId="166" fontId="1" fillId="6" borderId="3" xfId="5" applyNumberFormat="1" applyFont="1" applyFill="1" applyBorder="1" applyAlignment="1">
      <alignment horizontal="center" vertical="center"/>
    </xf>
    <xf numFmtId="9" fontId="8" fillId="6" borderId="3" xfId="5" applyFont="1" applyFill="1" applyBorder="1" applyAlignment="1">
      <alignment horizontal="center" vertical="center"/>
    </xf>
    <xf numFmtId="0" fontId="14" fillId="16" borderId="3" xfId="3" applyFont="1" applyFill="1" applyBorder="1" applyAlignment="1">
      <alignment horizontal="center" vertical="center" wrapText="1"/>
    </xf>
    <xf numFmtId="166" fontId="8" fillId="6" borderId="3" xfId="5" applyNumberFormat="1" applyFont="1" applyFill="1" applyBorder="1" applyAlignment="1">
      <alignment horizontal="center" vertical="center"/>
    </xf>
    <xf numFmtId="166" fontId="0" fillId="0" borderId="0" xfId="0" applyNumberFormat="1"/>
    <xf numFmtId="167" fontId="16" fillId="10" borderId="3" xfId="5" applyNumberFormat="1" applyFont="1" applyFill="1" applyBorder="1" applyAlignment="1">
      <alignment horizontal="center" vertical="center"/>
    </xf>
    <xf numFmtId="2" fontId="15" fillId="10" borderId="3" xfId="5" applyNumberFormat="1" applyFont="1" applyFill="1" applyBorder="1" applyAlignment="1">
      <alignment horizontal="center" vertical="center"/>
    </xf>
    <xf numFmtId="2" fontId="16" fillId="10" borderId="3" xfId="0" applyNumberFormat="1" applyFont="1" applyFill="1" applyBorder="1" applyAlignment="1">
      <alignment horizontal="center" vertical="center"/>
    </xf>
    <xf numFmtId="2" fontId="16" fillId="10" borderId="3" xfId="5" applyNumberFormat="1" applyFont="1" applyFill="1" applyBorder="1" applyAlignment="1">
      <alignment horizontal="center" vertical="center"/>
    </xf>
    <xf numFmtId="167" fontId="16" fillId="10" borderId="3" xfId="0" applyNumberFormat="1" applyFont="1" applyFill="1" applyBorder="1" applyAlignment="1">
      <alignment horizontal="center" vertical="center"/>
    </xf>
    <xf numFmtId="164" fontId="16" fillId="10" borderId="3" xfId="0" applyNumberFormat="1" applyFont="1" applyFill="1" applyBorder="1" applyAlignment="1">
      <alignment horizontal="center" vertical="center"/>
    </xf>
    <xf numFmtId="2" fontId="17" fillId="10" borderId="3" xfId="0" applyNumberFormat="1" applyFont="1" applyFill="1" applyBorder="1" applyAlignment="1">
      <alignment horizontal="center" vertical="center"/>
    </xf>
    <xf numFmtId="0" fontId="17" fillId="10" borderId="3" xfId="0" applyFont="1" applyFill="1" applyBorder="1" applyAlignment="1">
      <alignment horizontal="center" vertical="center"/>
    </xf>
    <xf numFmtId="9" fontId="16" fillId="10" borderId="3" xfId="5" applyFont="1" applyFill="1" applyBorder="1" applyAlignment="1">
      <alignment horizontal="center" vertical="center"/>
    </xf>
    <xf numFmtId="0" fontId="16" fillId="10" borderId="3" xfId="0" applyFont="1" applyFill="1" applyBorder="1" applyAlignment="1">
      <alignment horizontal="center" vertical="center"/>
    </xf>
    <xf numFmtId="0" fontId="16" fillId="0" borderId="0" xfId="0" applyFont="1"/>
    <xf numFmtId="2" fontId="18" fillId="18" borderId="3" xfId="3" applyNumberFormat="1" applyFont="1" applyFill="1" applyBorder="1" applyAlignment="1">
      <alignment horizontal="center" vertical="center" wrapText="1"/>
    </xf>
    <xf numFmtId="167" fontId="17" fillId="10" borderId="3" xfId="0" applyNumberFormat="1" applyFont="1" applyFill="1" applyBorder="1" applyAlignment="1">
      <alignment horizontal="center" vertical="center"/>
    </xf>
    <xf numFmtId="2" fontId="1" fillId="6" borderId="3" xfId="5" applyNumberFormat="1" applyFont="1" applyFill="1" applyBorder="1" applyAlignment="1">
      <alignment horizontal="center" vertical="center"/>
    </xf>
    <xf numFmtId="2" fontId="0" fillId="6" borderId="3" xfId="0" applyNumberFormat="1" applyFill="1" applyBorder="1" applyAlignment="1">
      <alignment horizontal="center" vertical="center"/>
    </xf>
    <xf numFmtId="166" fontId="0" fillId="6" borderId="3" xfId="5" applyNumberFormat="1" applyFont="1" applyFill="1" applyBorder="1" applyAlignment="1">
      <alignment horizontal="center" vertical="center"/>
    </xf>
    <xf numFmtId="164" fontId="1" fillId="6" borderId="3" xfId="0" applyNumberFormat="1" applyFont="1" applyFill="1" applyBorder="1" applyAlignment="1">
      <alignment horizontal="center" vertical="center"/>
    </xf>
    <xf numFmtId="170" fontId="1" fillId="13" borderId="3" xfId="4" applyNumberFormat="1" applyFont="1" applyFill="1" applyBorder="1" applyAlignment="1">
      <alignment horizontal="center" vertical="center"/>
    </xf>
    <xf numFmtId="164" fontId="1" fillId="13" borderId="3" xfId="5" applyNumberFormat="1" applyFont="1" applyFill="1" applyBorder="1" applyAlignment="1">
      <alignment horizontal="center" vertical="center"/>
    </xf>
    <xf numFmtId="164" fontId="0" fillId="0" borderId="0" xfId="0" applyNumberFormat="1"/>
    <xf numFmtId="0" fontId="19" fillId="0" borderId="0" xfId="0" applyFont="1" applyAlignment="1">
      <alignment vertical="center" wrapText="1"/>
    </xf>
    <xf numFmtId="0" fontId="20" fillId="0" borderId="0" xfId="0" applyFont="1" applyAlignment="1">
      <alignment vertical="center" wrapText="1"/>
    </xf>
    <xf numFmtId="0" fontId="21" fillId="19" borderId="22" xfId="0" applyFont="1" applyFill="1" applyBorder="1" applyAlignment="1">
      <alignment horizontal="center" vertical="center" wrapText="1"/>
    </xf>
    <xf numFmtId="0" fontId="20" fillId="0" borderId="24" xfId="0" applyFont="1" applyBorder="1" applyAlignment="1">
      <alignment vertical="center" wrapText="1"/>
    </xf>
    <xf numFmtId="0" fontId="20" fillId="0" borderId="25" xfId="0" applyFont="1" applyBorder="1" applyAlignment="1">
      <alignment vertical="center" wrapText="1"/>
    </xf>
    <xf numFmtId="166" fontId="22" fillId="0" borderId="3" xfId="0" applyNumberFormat="1" applyFont="1" applyBorder="1" applyAlignment="1">
      <alignment vertical="center" wrapText="1"/>
    </xf>
    <xf numFmtId="0" fontId="20" fillId="0" borderId="26" xfId="0" applyFont="1" applyBorder="1" applyAlignment="1">
      <alignment vertical="center" wrapText="1"/>
    </xf>
    <xf numFmtId="0" fontId="20" fillId="19" borderId="0" xfId="0" applyFont="1" applyFill="1" applyAlignment="1">
      <alignment vertical="center" wrapText="1"/>
    </xf>
    <xf numFmtId="0" fontId="20" fillId="0" borderId="27" xfId="0" applyFont="1" applyBorder="1" applyAlignment="1">
      <alignment vertical="center" wrapText="1"/>
    </xf>
    <xf numFmtId="10" fontId="20" fillId="0" borderId="3" xfId="0" applyNumberFormat="1" applyFont="1" applyBorder="1" applyAlignment="1">
      <alignment vertical="center" wrapText="1"/>
    </xf>
    <xf numFmtId="166" fontId="20" fillId="0" borderId="3" xfId="5" applyNumberFormat="1" applyFont="1" applyBorder="1" applyAlignment="1">
      <alignment vertical="center" wrapText="1"/>
    </xf>
    <xf numFmtId="9" fontId="20" fillId="0" borderId="0" xfId="5" applyFont="1" applyAlignment="1">
      <alignment vertical="center" wrapText="1"/>
    </xf>
    <xf numFmtId="0" fontId="23" fillId="19" borderId="0" xfId="0" applyFont="1" applyFill="1" applyAlignment="1">
      <alignment horizontal="center" vertical="center" wrapText="1"/>
    </xf>
    <xf numFmtId="10" fontId="20" fillId="0" borderId="25" xfId="0" applyNumberFormat="1" applyFont="1" applyBorder="1" applyAlignment="1">
      <alignment vertical="center" wrapText="1"/>
    </xf>
    <xf numFmtId="168" fontId="20" fillId="0" borderId="0" xfId="0" applyNumberFormat="1" applyFont="1" applyAlignment="1">
      <alignment vertical="center" wrapText="1"/>
    </xf>
    <xf numFmtId="0" fontId="23" fillId="0" borderId="25" xfId="0" applyFont="1" applyBorder="1" applyAlignment="1">
      <alignment vertical="center" wrapText="1"/>
    </xf>
    <xf numFmtId="0" fontId="23" fillId="0" borderId="26" xfId="0" applyFont="1" applyBorder="1" applyAlignment="1">
      <alignment vertical="center" wrapText="1"/>
    </xf>
    <xf numFmtId="0" fontId="23" fillId="19" borderId="0" xfId="0" applyFont="1" applyFill="1" applyAlignment="1">
      <alignment vertical="center" wrapText="1"/>
    </xf>
    <xf numFmtId="10" fontId="20" fillId="0" borderId="0" xfId="0" applyNumberFormat="1" applyFont="1" applyAlignment="1">
      <alignment vertical="center" wrapText="1"/>
    </xf>
    <xf numFmtId="43" fontId="23" fillId="0" borderId="30" xfId="4" applyFont="1" applyBorder="1" applyAlignment="1">
      <alignment vertical="center" wrapText="1"/>
    </xf>
    <xf numFmtId="43" fontId="23" fillId="0" borderId="31" xfId="4" applyFont="1" applyBorder="1" applyAlignment="1">
      <alignment vertical="center" wrapText="1"/>
    </xf>
    <xf numFmtId="43" fontId="23" fillId="19" borderId="0" xfId="4" applyFont="1" applyFill="1" applyAlignment="1">
      <alignment vertical="center" wrapText="1"/>
    </xf>
    <xf numFmtId="0" fontId="20" fillId="0" borderId="0" xfId="0" applyFont="1" applyAlignment="1">
      <alignment horizontal="center" vertical="center" wrapText="1"/>
    </xf>
    <xf numFmtId="0" fontId="21" fillId="19" borderId="7" xfId="0" applyFont="1" applyFill="1" applyBorder="1" applyAlignment="1">
      <alignment horizontal="center" vertical="center" wrapText="1"/>
    </xf>
    <xf numFmtId="0" fontId="23" fillId="0" borderId="0" xfId="0" applyFont="1" applyAlignment="1">
      <alignment horizontal="center" vertical="center" wrapText="1"/>
    </xf>
    <xf numFmtId="0" fontId="23" fillId="0" borderId="26" xfId="0" applyFont="1" applyBorder="1" applyAlignment="1">
      <alignment horizontal="center" vertical="center" wrapText="1"/>
    </xf>
    <xf numFmtId="0" fontId="19" fillId="0" borderId="0" xfId="0" applyFont="1" applyAlignment="1">
      <alignment horizontal="center" vertical="center" wrapText="1"/>
    </xf>
    <xf numFmtId="0" fontId="20" fillId="0" borderId="32" xfId="0" applyFont="1" applyBorder="1" applyAlignment="1">
      <alignment vertical="center" wrapText="1"/>
    </xf>
    <xf numFmtId="166" fontId="20" fillId="0" borderId="4" xfId="0" applyNumberFormat="1" applyFont="1" applyBorder="1" applyAlignment="1">
      <alignment vertical="center" wrapText="1"/>
    </xf>
    <xf numFmtId="166" fontId="20" fillId="0" borderId="4" xfId="5" applyNumberFormat="1" applyFont="1" applyBorder="1" applyAlignment="1">
      <alignment vertical="center" wrapText="1"/>
    </xf>
    <xf numFmtId="43" fontId="23" fillId="0" borderId="4" xfId="4" applyFont="1" applyBorder="1" applyAlignment="1">
      <alignment vertical="center" wrapText="1"/>
    </xf>
    <xf numFmtId="43" fontId="23" fillId="0" borderId="5" xfId="4" applyFont="1" applyBorder="1" applyAlignment="1">
      <alignment vertical="center" wrapText="1"/>
    </xf>
    <xf numFmtId="43" fontId="23" fillId="19" borderId="18" xfId="4" applyFont="1" applyFill="1" applyBorder="1" applyAlignment="1">
      <alignment vertical="center" wrapText="1"/>
    </xf>
    <xf numFmtId="2" fontId="19" fillId="0" borderId="0" xfId="0" applyNumberFormat="1" applyFont="1" applyAlignment="1">
      <alignment vertical="center" wrapText="1"/>
    </xf>
    <xf numFmtId="43" fontId="19" fillId="0" borderId="0" xfId="0" applyNumberFormat="1" applyFont="1" applyAlignment="1">
      <alignment vertical="center" wrapText="1"/>
    </xf>
    <xf numFmtId="0" fontId="20" fillId="0" borderId="30" xfId="0" applyFont="1" applyBorder="1" applyAlignment="1">
      <alignment vertical="center" wrapText="1"/>
    </xf>
    <xf numFmtId="166" fontId="20" fillId="0" borderId="3" xfId="0" applyNumberFormat="1" applyFont="1" applyBorder="1" applyAlignment="1">
      <alignment vertical="center" wrapText="1"/>
    </xf>
    <xf numFmtId="43" fontId="23" fillId="0" borderId="3" xfId="4" applyFont="1" applyBorder="1" applyAlignment="1">
      <alignment vertical="center" wrapText="1"/>
    </xf>
    <xf numFmtId="43" fontId="23" fillId="19" borderId="14" xfId="4" applyFont="1" applyFill="1" applyBorder="1" applyAlignment="1">
      <alignment vertical="center" wrapText="1"/>
    </xf>
    <xf numFmtId="0" fontId="20" fillId="0" borderId="3" xfId="0" applyFont="1" applyBorder="1" applyAlignment="1">
      <alignment vertical="center" wrapText="1"/>
    </xf>
    <xf numFmtId="0" fontId="20" fillId="13" borderId="30" xfId="0" applyFont="1" applyFill="1" applyBorder="1" applyAlignment="1">
      <alignment vertical="center" wrapText="1"/>
    </xf>
    <xf numFmtId="166" fontId="20" fillId="13" borderId="3" xfId="0" applyNumberFormat="1" applyFont="1" applyFill="1" applyBorder="1" applyAlignment="1">
      <alignment vertical="center" wrapText="1"/>
    </xf>
    <xf numFmtId="166" fontId="20" fillId="13" borderId="3" xfId="5" applyNumberFormat="1" applyFont="1" applyFill="1" applyBorder="1" applyAlignment="1">
      <alignment vertical="center" wrapText="1"/>
    </xf>
    <xf numFmtId="0" fontId="20" fillId="13" borderId="3" xfId="0" applyFont="1" applyFill="1" applyBorder="1" applyAlignment="1">
      <alignment vertical="center" wrapText="1"/>
    </xf>
    <xf numFmtId="43" fontId="24" fillId="13" borderId="3" xfId="4" applyFont="1" applyFill="1" applyBorder="1" applyAlignment="1">
      <alignment vertical="center" wrapText="1"/>
    </xf>
    <xf numFmtId="43" fontId="23" fillId="13" borderId="31" xfId="4" applyFont="1" applyFill="1" applyBorder="1" applyAlignment="1">
      <alignment vertical="center" wrapText="1"/>
    </xf>
    <xf numFmtId="171" fontId="20" fillId="13" borderId="3" xfId="0" applyNumberFormat="1" applyFont="1" applyFill="1" applyBorder="1" applyAlignment="1">
      <alignment vertical="center" wrapText="1"/>
    </xf>
    <xf numFmtId="0" fontId="20" fillId="0" borderId="33" xfId="0" applyFont="1" applyBorder="1" applyAlignment="1">
      <alignment vertical="center" wrapText="1"/>
    </xf>
    <xf numFmtId="166" fontId="20" fillId="0" borderId="34" xfId="0" applyNumberFormat="1" applyFont="1" applyBorder="1" applyAlignment="1">
      <alignment vertical="center" wrapText="1"/>
    </xf>
    <xf numFmtId="166" fontId="20" fillId="0" borderId="34" xfId="5" applyNumberFormat="1" applyFont="1" applyBorder="1" applyAlignment="1">
      <alignment vertical="center" wrapText="1"/>
    </xf>
    <xf numFmtId="0" fontId="20" fillId="0" borderId="34" xfId="0" applyFont="1" applyBorder="1" applyAlignment="1">
      <alignment vertical="center" wrapText="1"/>
    </xf>
    <xf numFmtId="43" fontId="23" fillId="0" borderId="35" xfId="4" applyFont="1" applyBorder="1" applyAlignment="1">
      <alignment vertical="center" wrapText="1"/>
    </xf>
    <xf numFmtId="43" fontId="23" fillId="0" borderId="36" xfId="4" applyFont="1" applyBorder="1" applyAlignment="1">
      <alignment vertical="center" wrapText="1"/>
    </xf>
    <xf numFmtId="43" fontId="23" fillId="19" borderId="34" xfId="4" applyFont="1" applyFill="1" applyBorder="1" applyAlignment="1">
      <alignment vertical="center" wrapText="1"/>
    </xf>
    <xf numFmtId="166" fontId="20" fillId="0" borderId="35" xfId="0" applyNumberFormat="1" applyFont="1" applyBorder="1" applyAlignment="1">
      <alignment vertical="center" wrapText="1"/>
    </xf>
    <xf numFmtId="166" fontId="20" fillId="0" borderId="24" xfId="0" applyNumberFormat="1" applyFont="1" applyBorder="1" applyAlignment="1">
      <alignment vertical="center" wrapText="1"/>
    </xf>
    <xf numFmtId="166" fontId="20" fillId="0" borderId="0" xfId="0" applyNumberFormat="1" applyFont="1" applyAlignment="1">
      <alignment vertical="center" wrapText="1"/>
    </xf>
    <xf numFmtId="170" fontId="20" fillId="0" borderId="0" xfId="0" applyNumberFormat="1" applyFont="1" applyAlignment="1">
      <alignment vertical="center" wrapText="1"/>
    </xf>
    <xf numFmtId="43" fontId="20" fillId="0" borderId="0" xfId="0" applyNumberFormat="1" applyFont="1" applyAlignment="1">
      <alignment vertical="center" wrapText="1"/>
    </xf>
    <xf numFmtId="0" fontId="25" fillId="0" borderId="0" xfId="0" applyFont="1" applyAlignment="1">
      <alignment vertical="center" wrapText="1"/>
    </xf>
    <xf numFmtId="166" fontId="19" fillId="0" borderId="0" xfId="5" applyNumberFormat="1" applyFont="1" applyAlignment="1">
      <alignment vertical="center" wrapText="1"/>
    </xf>
    <xf numFmtId="43" fontId="26" fillId="0" borderId="34" xfId="4" applyFont="1" applyBorder="1" applyAlignment="1">
      <alignment vertical="center" wrapText="1"/>
    </xf>
    <xf numFmtId="172" fontId="19" fillId="0" borderId="0" xfId="0" applyNumberFormat="1" applyFont="1" applyAlignment="1">
      <alignment vertical="center" wrapText="1"/>
    </xf>
    <xf numFmtId="171" fontId="19" fillId="0" borderId="0" xfId="0" applyNumberFormat="1" applyFont="1" applyAlignment="1">
      <alignment vertical="center" wrapText="1"/>
    </xf>
    <xf numFmtId="170" fontId="25" fillId="20" borderId="0" xfId="0" applyNumberFormat="1" applyFont="1" applyFill="1" applyAlignment="1">
      <alignment vertical="center" wrapText="1"/>
    </xf>
    <xf numFmtId="166" fontId="19" fillId="0" borderId="0" xfId="0" applyNumberFormat="1" applyFont="1" applyAlignment="1">
      <alignment vertical="center" wrapText="1"/>
    </xf>
    <xf numFmtId="173" fontId="19" fillId="0" borderId="0" xfId="4" applyNumberFormat="1" applyFont="1" applyAlignment="1">
      <alignment vertical="center" wrapText="1"/>
    </xf>
    <xf numFmtId="174" fontId="19" fillId="0" borderId="0" xfId="5" applyNumberFormat="1" applyFont="1" applyAlignment="1">
      <alignment vertical="center" wrapText="1"/>
    </xf>
    <xf numFmtId="0" fontId="25" fillId="0" borderId="3" xfId="0" applyFont="1" applyBorder="1" applyAlignment="1">
      <alignment vertical="center" wrapText="1"/>
    </xf>
    <xf numFmtId="171" fontId="19" fillId="0" borderId="0" xfId="5" applyNumberFormat="1" applyFont="1" applyAlignment="1">
      <alignment vertical="center" wrapText="1"/>
    </xf>
    <xf numFmtId="43" fontId="19" fillId="0" borderId="0" xfId="0" applyNumberFormat="1" applyFont="1" applyAlignment="1">
      <alignment vertical="center"/>
    </xf>
    <xf numFmtId="43" fontId="27" fillId="0" borderId="24" xfId="0" applyNumberFormat="1" applyFont="1" applyBorder="1" applyAlignment="1">
      <alignment vertical="center" wrapText="1"/>
    </xf>
    <xf numFmtId="43" fontId="25" fillId="0" borderId="24" xfId="0" applyNumberFormat="1" applyFont="1" applyBorder="1" applyAlignment="1">
      <alignment vertical="center" wrapText="1"/>
    </xf>
    <xf numFmtId="43" fontId="27" fillId="0" borderId="0" xfId="0" applyNumberFormat="1" applyFont="1" applyAlignment="1">
      <alignment vertical="center" wrapText="1"/>
    </xf>
    <xf numFmtId="43" fontId="25" fillId="0" borderId="0" xfId="0" applyNumberFormat="1" applyFont="1" applyAlignment="1">
      <alignment vertical="center" wrapText="1"/>
    </xf>
    <xf numFmtId="173" fontId="19" fillId="0" borderId="0" xfId="0" applyNumberFormat="1" applyFont="1" applyAlignment="1">
      <alignment vertical="center" wrapText="1"/>
    </xf>
    <xf numFmtId="43" fontId="27" fillId="13" borderId="24" xfId="0" applyNumberFormat="1" applyFont="1" applyFill="1" applyBorder="1" applyAlignment="1">
      <alignment vertical="center" wrapText="1"/>
    </xf>
    <xf numFmtId="43" fontId="19" fillId="0" borderId="0" xfId="4" applyFont="1" applyAlignment="1">
      <alignment vertical="center" wrapText="1"/>
    </xf>
    <xf numFmtId="175" fontId="19" fillId="0" borderId="0" xfId="0" applyNumberFormat="1" applyFont="1" applyAlignment="1">
      <alignment vertical="center" wrapText="1"/>
    </xf>
    <xf numFmtId="9" fontId="20" fillId="13" borderId="24" xfId="5" applyFont="1" applyFill="1" applyBorder="1" applyAlignment="1">
      <alignment vertical="center" wrapText="1"/>
    </xf>
    <xf numFmtId="2" fontId="28" fillId="21" borderId="24" xfId="5" applyNumberFormat="1" applyFont="1" applyFill="1" applyBorder="1" applyAlignment="1">
      <alignment vertical="center" wrapText="1"/>
    </xf>
    <xf numFmtId="2" fontId="20" fillId="13" borderId="38" xfId="5" applyNumberFormat="1" applyFont="1" applyFill="1" applyBorder="1" applyAlignment="1">
      <alignment vertical="center" wrapText="1"/>
    </xf>
    <xf numFmtId="9" fontId="20" fillId="0" borderId="24" xfId="5" applyFont="1" applyBorder="1" applyAlignment="1">
      <alignment vertical="center" wrapText="1"/>
    </xf>
    <xf numFmtId="9" fontId="21" fillId="19" borderId="24" xfId="5" applyFont="1" applyFill="1" applyBorder="1" applyAlignment="1">
      <alignment vertical="center" wrapText="1"/>
    </xf>
    <xf numFmtId="166" fontId="29" fillId="22" borderId="3" xfId="0" applyNumberFormat="1" applyFont="1" applyFill="1" applyBorder="1" applyAlignment="1">
      <alignment vertical="center" wrapText="1"/>
    </xf>
    <xf numFmtId="171" fontId="29" fillId="22" borderId="3" xfId="0" applyNumberFormat="1" applyFont="1" applyFill="1" applyBorder="1" applyAlignment="1">
      <alignment vertical="center" wrapText="1"/>
    </xf>
    <xf numFmtId="43" fontId="25" fillId="20" borderId="0" xfId="0" applyNumberFormat="1" applyFont="1" applyFill="1" applyAlignment="1">
      <alignment vertical="center" wrapText="1"/>
    </xf>
    <xf numFmtId="176" fontId="19" fillId="0" borderId="0" xfId="5" applyNumberFormat="1" applyFont="1" applyAlignment="1">
      <alignment vertical="center" wrapText="1"/>
    </xf>
    <xf numFmtId="177" fontId="19" fillId="0" borderId="0" xfId="4" applyNumberFormat="1" applyFont="1" applyAlignment="1">
      <alignment vertical="center" wrapText="1"/>
    </xf>
    <xf numFmtId="10" fontId="19" fillId="0" borderId="0" xfId="5" applyNumberFormat="1" applyFont="1" applyAlignment="1">
      <alignment vertical="center" wrapText="1"/>
    </xf>
    <xf numFmtId="169" fontId="1" fillId="6" borderId="3" xfId="5" applyNumberFormat="1" applyFont="1" applyFill="1" applyBorder="1" applyAlignment="1">
      <alignment horizontal="center" vertical="center"/>
    </xf>
    <xf numFmtId="2" fontId="13" fillId="4" borderId="3" xfId="4" applyNumberFormat="1" applyFont="1" applyFill="1" applyBorder="1" applyAlignment="1">
      <alignment horizontal="center" vertical="center"/>
    </xf>
    <xf numFmtId="2" fontId="15" fillId="4" borderId="3" xfId="4" applyNumberFormat="1" applyFont="1" applyFill="1" applyBorder="1" applyAlignment="1">
      <alignment horizontal="center" vertical="center"/>
    </xf>
    <xf numFmtId="9" fontId="0" fillId="6" borderId="3" xfId="0" applyNumberFormat="1" applyFill="1" applyBorder="1" applyAlignment="1">
      <alignment horizontal="center" vertical="center"/>
    </xf>
    <xf numFmtId="164" fontId="16" fillId="10" borderId="3" xfId="5" applyNumberFormat="1" applyFont="1" applyFill="1" applyBorder="1" applyAlignment="1">
      <alignment horizontal="center" vertical="center"/>
    </xf>
    <xf numFmtId="0" fontId="6" fillId="5" borderId="11" xfId="1" applyFont="1" applyFill="1" applyBorder="1" applyAlignment="1">
      <alignment horizontal="center" vertical="center"/>
    </xf>
    <xf numFmtId="0" fontId="5" fillId="8" borderId="9" xfId="0" applyFont="1" applyFill="1" applyBorder="1" applyAlignment="1">
      <alignment horizontal="center"/>
    </xf>
    <xf numFmtId="0" fontId="5" fillId="8" borderId="14" xfId="0" applyFont="1" applyFill="1" applyBorder="1" applyAlignment="1">
      <alignment horizontal="center"/>
    </xf>
    <xf numFmtId="0" fontId="5" fillId="8" borderId="15" xfId="0" applyFont="1" applyFill="1" applyBorder="1" applyAlignment="1">
      <alignment horizontal="center"/>
    </xf>
    <xf numFmtId="0" fontId="5" fillId="14" borderId="9" xfId="0" applyFont="1" applyFill="1" applyBorder="1" applyAlignment="1">
      <alignment horizontal="center"/>
    </xf>
    <xf numFmtId="0" fontId="5" fillId="14" borderId="14" xfId="0" applyFont="1" applyFill="1" applyBorder="1" applyAlignment="1">
      <alignment horizontal="center"/>
    </xf>
    <xf numFmtId="0" fontId="5" fillId="14" borderId="15" xfId="0" applyFont="1" applyFill="1" applyBorder="1" applyAlignment="1">
      <alignment horizontal="center"/>
    </xf>
    <xf numFmtId="0" fontId="5" fillId="15" borderId="9" xfId="0" applyFont="1" applyFill="1" applyBorder="1" applyAlignment="1">
      <alignment horizontal="center"/>
    </xf>
    <xf numFmtId="0" fontId="5" fillId="15" borderId="14" xfId="0" applyFont="1" applyFill="1" applyBorder="1" applyAlignment="1">
      <alignment horizontal="center"/>
    </xf>
    <xf numFmtId="0" fontId="5" fillId="15" borderId="15" xfId="0" applyFont="1" applyFill="1" applyBorder="1" applyAlignment="1">
      <alignment horizontal="center"/>
    </xf>
    <xf numFmtId="0" fontId="6" fillId="9" borderId="9" xfId="1" applyFont="1" applyFill="1" applyBorder="1" applyAlignment="1">
      <alignment horizontal="center" vertical="center" wrapText="1"/>
    </xf>
    <xf numFmtId="0" fontId="6" fillId="9" borderId="15" xfId="1" applyFont="1" applyFill="1" applyBorder="1" applyAlignment="1">
      <alignment horizontal="center" vertical="center" wrapText="1"/>
    </xf>
    <xf numFmtId="0" fontId="6" fillId="8" borderId="9" xfId="1" applyFont="1" applyFill="1" applyBorder="1" applyAlignment="1">
      <alignment horizontal="center" vertical="center" wrapText="1"/>
    </xf>
    <xf numFmtId="0" fontId="6" fillId="8" borderId="15" xfId="1" applyFont="1" applyFill="1" applyBorder="1" applyAlignment="1">
      <alignment horizontal="center" vertical="center" wrapText="1"/>
    </xf>
    <xf numFmtId="0" fontId="6" fillId="12" borderId="9" xfId="1" applyFont="1" applyFill="1" applyBorder="1" applyAlignment="1">
      <alignment horizontal="center" vertical="center" wrapText="1"/>
    </xf>
    <xf numFmtId="0" fontId="6" fillId="12" borderId="15" xfId="1" applyFont="1" applyFill="1" applyBorder="1" applyAlignment="1">
      <alignment horizontal="center" vertical="center" wrapText="1"/>
    </xf>
    <xf numFmtId="0" fontId="6" fillId="8" borderId="12"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4" xfId="1" applyFont="1" applyFill="1" applyBorder="1" applyAlignment="1">
      <alignment horizontal="center" vertical="center"/>
    </xf>
    <xf numFmtId="0" fontId="6" fillId="5" borderId="5" xfId="1" applyFont="1" applyFill="1" applyBorder="1" applyAlignment="1">
      <alignment horizontal="center" vertical="center"/>
    </xf>
    <xf numFmtId="0" fontId="6" fillId="5" borderId="16" xfId="1" applyFont="1" applyFill="1" applyBorder="1" applyAlignment="1">
      <alignment horizontal="center" vertical="center"/>
    </xf>
    <xf numFmtId="0" fontId="6" fillId="13" borderId="9" xfId="1" applyFont="1" applyFill="1" applyBorder="1" applyAlignment="1">
      <alignment horizontal="center" vertical="center"/>
    </xf>
    <xf numFmtId="0" fontId="6" fillId="13" borderId="14" xfId="1" applyFont="1" applyFill="1" applyBorder="1" applyAlignment="1">
      <alignment horizontal="center" vertical="center"/>
    </xf>
    <xf numFmtId="0" fontId="6" fillId="13" borderId="15" xfId="1" applyFont="1" applyFill="1" applyBorder="1" applyAlignment="1">
      <alignment horizontal="center" vertical="center"/>
    </xf>
    <xf numFmtId="0" fontId="14" fillId="17" borderId="7" xfId="3" applyFont="1" applyFill="1" applyBorder="1" applyAlignment="1">
      <alignment horizontal="center" vertical="center" wrapText="1"/>
    </xf>
    <xf numFmtId="0" fontId="14" fillId="17" borderId="20" xfId="3" applyFont="1" applyFill="1" applyBorder="1" applyAlignment="1">
      <alignment horizontal="center" vertical="center" wrapText="1"/>
    </xf>
    <xf numFmtId="0" fontId="14" fillId="17" borderId="11" xfId="3" applyFont="1" applyFill="1" applyBorder="1" applyAlignment="1">
      <alignment horizontal="center" vertical="center" wrapText="1"/>
    </xf>
    <xf numFmtId="0" fontId="7" fillId="3" borderId="17" xfId="3" applyFont="1" applyBorder="1" applyAlignment="1">
      <alignment horizontal="center" vertical="center"/>
    </xf>
    <xf numFmtId="0" fontId="7" fillId="3" borderId="18" xfId="3" applyFont="1" applyBorder="1" applyAlignment="1">
      <alignment horizontal="center" vertical="center"/>
    </xf>
    <xf numFmtId="0" fontId="7" fillId="3" borderId="10" xfId="3" applyFont="1" applyBorder="1" applyAlignment="1">
      <alignment horizontal="center" vertical="center"/>
    </xf>
    <xf numFmtId="0" fontId="20" fillId="13" borderId="27" xfId="0" applyFont="1" applyFill="1" applyBorder="1" applyAlignment="1">
      <alignment horizontal="center" vertical="center" wrapText="1"/>
    </xf>
    <xf numFmtId="0" fontId="20" fillId="13" borderId="29" xfId="0" applyFont="1" applyFill="1" applyBorder="1" applyAlignment="1">
      <alignment horizontal="center" vertical="center" wrapText="1"/>
    </xf>
    <xf numFmtId="0" fontId="21" fillId="19" borderId="21" xfId="0" applyFont="1" applyFill="1" applyBorder="1" applyAlignment="1">
      <alignment horizontal="center" vertical="center" wrapText="1"/>
    </xf>
    <xf numFmtId="0" fontId="21" fillId="19" borderId="22" xfId="0" applyFont="1" applyFill="1" applyBorder="1" applyAlignment="1">
      <alignment horizontal="center" vertical="center" wrapText="1"/>
    </xf>
    <xf numFmtId="0" fontId="21" fillId="19" borderId="23" xfId="0" applyFont="1" applyFill="1" applyBorder="1" applyAlignment="1">
      <alignment horizontal="center" vertical="center" wrapText="1"/>
    </xf>
    <xf numFmtId="0" fontId="23" fillId="0" borderId="27" xfId="0" applyFont="1" applyBorder="1" applyAlignment="1">
      <alignment horizontal="center" vertical="center" wrapText="1"/>
    </xf>
    <xf numFmtId="0" fontId="23" fillId="0" borderId="28" xfId="0" applyFont="1" applyBorder="1" applyAlignment="1">
      <alignment horizontal="center" vertical="center" wrapText="1"/>
    </xf>
    <xf numFmtId="0" fontId="23" fillId="0" borderId="29" xfId="0" applyFont="1" applyBorder="1" applyAlignment="1">
      <alignment horizontal="center" vertical="center" wrapText="1"/>
    </xf>
    <xf numFmtId="0" fontId="19" fillId="0" borderId="0" xfId="0" applyFont="1" applyAlignment="1">
      <alignment vertical="center" wrapText="1"/>
    </xf>
    <xf numFmtId="0" fontId="25" fillId="0" borderId="9"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37" xfId="0" applyFont="1" applyBorder="1" applyAlignment="1">
      <alignment horizontal="center" vertical="center" wrapText="1"/>
    </xf>
  </cellXfs>
  <cellStyles count="6">
    <cellStyle name="Check Cell" xfId="3" builtinId="23"/>
    <cellStyle name="Comma" xfId="4" builtinId="3"/>
    <cellStyle name="Good" xfId="2" builtinId="26"/>
    <cellStyle name="Heading 2" xfId="1" builtinId="17"/>
    <cellStyle name="Normal" xfId="0" builtinId="0"/>
    <cellStyle name="Percent" xfId="5"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N35"/>
  <sheetViews>
    <sheetView showGridLines="0" tabSelected="1" zoomScale="90" zoomScaleNormal="90" workbookViewId="0">
      <pane xSplit="4" ySplit="3" topLeftCell="E4" activePane="bottomRight" state="frozen"/>
      <selection pane="topRight" activeCell="E1" sqref="E1"/>
      <selection pane="bottomLeft" activeCell="A4" sqref="A4"/>
      <selection pane="bottomRight" activeCell="E4" sqref="E4"/>
    </sheetView>
  </sheetViews>
  <sheetFormatPr defaultRowHeight="14.5" x14ac:dyDescent="0.35"/>
  <cols>
    <col min="1" max="1" width="4.54296875" customWidth="1"/>
    <col min="2" max="2" width="30" customWidth="1"/>
    <col min="3" max="3" width="9.54296875" customWidth="1"/>
    <col min="4" max="4" width="10.453125" bestFit="1" customWidth="1"/>
    <col min="5" max="5" width="12.81640625" customWidth="1"/>
    <col min="6" max="6" width="10.81640625" customWidth="1"/>
    <col min="7" max="7" width="10.453125" customWidth="1"/>
    <col min="8" max="8" width="10.1796875" customWidth="1"/>
    <col min="9" max="12" width="10.7265625" customWidth="1"/>
    <col min="13" max="13" width="9.26953125" customWidth="1"/>
    <col min="14" max="14" width="10.81640625" customWidth="1"/>
    <col min="15" max="15" width="9.453125" customWidth="1"/>
    <col min="16" max="16" width="11" customWidth="1"/>
    <col min="17" max="17" width="13.453125" customWidth="1"/>
    <col min="18" max="18" width="9.453125" customWidth="1"/>
    <col min="19" max="19" width="10" style="2" bestFit="1" customWidth="1"/>
    <col min="20" max="20" width="14.1796875" bestFit="1" customWidth="1"/>
    <col min="21" max="21" width="12.7265625" customWidth="1"/>
    <col min="22" max="22" width="17.81640625" style="4" customWidth="1"/>
    <col min="23" max="23" width="12.7265625" bestFit="1" customWidth="1"/>
    <col min="24" max="24" width="11.81640625" customWidth="1"/>
    <col min="25" max="25" width="13.1796875" customWidth="1"/>
    <col min="26" max="26" width="17.8164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3" customWidth="1"/>
    <col min="34" max="34" width="11" bestFit="1" customWidth="1"/>
    <col min="35" max="35" width="12.7265625" customWidth="1"/>
    <col min="36" max="36" width="13.453125" customWidth="1"/>
    <col min="37" max="37" width="11.81640625" bestFit="1" customWidth="1"/>
    <col min="38" max="38" width="11" customWidth="1"/>
    <col min="39" max="50" width="14.1796875" customWidth="1"/>
    <col min="51" max="51" width="13.26953125" customWidth="1"/>
    <col min="52" max="52" width="12.81640625" customWidth="1"/>
    <col min="53" max="53" width="14.81640625" customWidth="1"/>
    <col min="54" max="54" width="12" customWidth="1"/>
    <col min="55" max="55" width="16.26953125" bestFit="1" customWidth="1"/>
    <col min="56" max="56" width="12.1796875" customWidth="1"/>
    <col min="57" max="57" width="11.81640625" customWidth="1"/>
    <col min="58" max="58" width="11" bestFit="1" customWidth="1"/>
    <col min="59" max="59" width="12.54296875" bestFit="1" customWidth="1"/>
    <col min="60" max="60" width="16.26953125" bestFit="1" customWidth="1"/>
    <col min="61" max="61" width="22.1796875" bestFit="1" customWidth="1"/>
    <col min="62" max="62" width="11" customWidth="1"/>
    <col min="63" max="63" width="13.453125" customWidth="1"/>
    <col min="65" max="66" width="23.26953125" bestFit="1" customWidth="1"/>
    <col min="68" max="68" width="11.81640625" bestFit="1" customWidth="1"/>
  </cols>
  <sheetData>
    <row r="1" spans="2:66" x14ac:dyDescent="0.35">
      <c r="E1" s="147" t="s">
        <v>45</v>
      </c>
      <c r="F1" s="148"/>
      <c r="G1" s="148"/>
      <c r="H1" s="148"/>
      <c r="I1" s="148"/>
      <c r="J1" s="148"/>
      <c r="K1" s="148"/>
      <c r="L1" s="148"/>
      <c r="M1" s="148"/>
      <c r="N1" s="148"/>
      <c r="O1" s="148"/>
      <c r="P1" s="148"/>
      <c r="Q1" s="148"/>
      <c r="R1" s="148"/>
      <c r="S1" s="149"/>
      <c r="T1" s="153" t="s">
        <v>32</v>
      </c>
      <c r="U1" s="154"/>
      <c r="V1" s="155"/>
      <c r="W1" s="150" t="s">
        <v>33</v>
      </c>
      <c r="X1" s="151"/>
      <c r="Y1" s="151"/>
      <c r="Z1" s="151"/>
      <c r="AA1" s="151"/>
      <c r="AB1" s="151"/>
      <c r="AC1" s="151"/>
      <c r="AD1" s="151"/>
      <c r="AE1" s="151"/>
      <c r="AF1" s="151"/>
      <c r="AG1" s="151"/>
      <c r="AH1" s="151"/>
      <c r="AI1" s="151"/>
      <c r="AJ1" s="151"/>
      <c r="AK1" s="151"/>
      <c r="AL1" s="151"/>
      <c r="AM1" s="151"/>
      <c r="AN1" s="151"/>
      <c r="AO1" s="151"/>
      <c r="AP1" s="151"/>
      <c r="AQ1" s="151"/>
      <c r="AR1" s="151"/>
      <c r="AS1" s="151"/>
      <c r="AT1" s="151"/>
      <c r="AU1" s="151"/>
      <c r="AV1" s="151"/>
      <c r="AW1" s="151"/>
      <c r="AX1" s="151"/>
      <c r="AY1" s="151"/>
      <c r="AZ1" s="151"/>
      <c r="BA1" s="151"/>
      <c r="BB1" s="151"/>
      <c r="BC1" s="151"/>
      <c r="BD1" s="151"/>
      <c r="BE1" s="151"/>
      <c r="BF1" s="151"/>
      <c r="BG1" s="151"/>
      <c r="BH1" s="152"/>
      <c r="BI1" s="7"/>
      <c r="BJ1" s="7"/>
      <c r="BK1" s="7"/>
    </row>
    <row r="2" spans="2:66" ht="34" x14ac:dyDescent="0.35">
      <c r="B2" s="176" t="s">
        <v>3</v>
      </c>
      <c r="C2" s="177"/>
      <c r="D2" s="178"/>
      <c r="E2" s="158" t="s">
        <v>14</v>
      </c>
      <c r="F2" s="159"/>
      <c r="G2" s="156" t="s">
        <v>38</v>
      </c>
      <c r="H2" s="157"/>
      <c r="I2" s="156" t="s">
        <v>39</v>
      </c>
      <c r="J2" s="157"/>
      <c r="K2" s="160" t="s">
        <v>46</v>
      </c>
      <c r="L2" s="161"/>
      <c r="M2" s="156" t="s">
        <v>40</v>
      </c>
      <c r="N2" s="157"/>
      <c r="O2" s="156" t="s">
        <v>41</v>
      </c>
      <c r="P2" s="157"/>
      <c r="Q2" s="162" t="s">
        <v>42</v>
      </c>
      <c r="R2" s="163"/>
      <c r="S2" s="164"/>
      <c r="T2" s="165" t="s">
        <v>12</v>
      </c>
      <c r="U2" s="166"/>
      <c r="V2" s="6" t="s">
        <v>47</v>
      </c>
      <c r="W2" s="146" t="s">
        <v>26</v>
      </c>
      <c r="X2" s="146"/>
      <c r="Y2" s="146"/>
      <c r="Z2" s="146"/>
      <c r="AA2" s="165" t="s">
        <v>28</v>
      </c>
      <c r="AB2" s="169"/>
      <c r="AC2" s="169"/>
      <c r="AD2" s="166"/>
      <c r="AE2" s="146" t="s">
        <v>27</v>
      </c>
      <c r="AF2" s="146"/>
      <c r="AG2" s="146"/>
      <c r="AH2" s="146"/>
      <c r="AI2" s="165" t="s">
        <v>35</v>
      </c>
      <c r="AJ2" s="169"/>
      <c r="AK2" s="169"/>
      <c r="AL2" s="166"/>
      <c r="AM2" s="170" t="s">
        <v>50</v>
      </c>
      <c r="AN2" s="171"/>
      <c r="AO2" s="171"/>
      <c r="AP2" s="172"/>
      <c r="AQ2" s="170" t="s">
        <v>48</v>
      </c>
      <c r="AR2" s="171"/>
      <c r="AS2" s="171"/>
      <c r="AT2" s="172"/>
      <c r="AU2" s="146" t="s">
        <v>0</v>
      </c>
      <c r="AV2" s="146"/>
      <c r="AW2" s="146"/>
      <c r="AX2" s="146"/>
      <c r="AY2" s="165" t="s">
        <v>1</v>
      </c>
      <c r="AZ2" s="166"/>
      <c r="BA2" s="146" t="s">
        <v>25</v>
      </c>
      <c r="BB2" s="146"/>
      <c r="BC2" s="146" t="s">
        <v>24</v>
      </c>
      <c r="BD2" s="146"/>
      <c r="BE2" s="146"/>
      <c r="BF2" s="146"/>
      <c r="BG2" s="146" t="s">
        <v>8</v>
      </c>
      <c r="BH2" s="146"/>
      <c r="BI2" s="5" t="s">
        <v>31</v>
      </c>
      <c r="BJ2" s="167" t="s">
        <v>10</v>
      </c>
      <c r="BK2" s="168"/>
    </row>
    <row r="3" spans="2:66" ht="58" x14ac:dyDescent="0.35">
      <c r="B3" s="8" t="s">
        <v>4</v>
      </c>
      <c r="C3" s="9" t="s">
        <v>5</v>
      </c>
      <c r="D3" s="9" t="s">
        <v>37</v>
      </c>
      <c r="E3" s="10" t="s">
        <v>43</v>
      </c>
      <c r="F3" s="10" t="s">
        <v>13</v>
      </c>
      <c r="G3" s="11" t="s">
        <v>43</v>
      </c>
      <c r="H3" s="12" t="s">
        <v>13</v>
      </c>
      <c r="I3" s="12" t="s">
        <v>43</v>
      </c>
      <c r="J3" s="12" t="s">
        <v>13</v>
      </c>
      <c r="K3" s="12" t="s">
        <v>43</v>
      </c>
      <c r="L3" s="12" t="s">
        <v>13</v>
      </c>
      <c r="M3" s="12" t="s">
        <v>43</v>
      </c>
      <c r="N3" s="12" t="s">
        <v>13</v>
      </c>
      <c r="O3" s="12" t="s">
        <v>43</v>
      </c>
      <c r="P3" s="12" t="s">
        <v>13</v>
      </c>
      <c r="Q3" s="13" t="s">
        <v>43</v>
      </c>
      <c r="R3" s="13" t="s">
        <v>13</v>
      </c>
      <c r="S3" s="14" t="s">
        <v>44</v>
      </c>
      <c r="T3" s="15" t="s">
        <v>16</v>
      </c>
      <c r="U3" s="15" t="s">
        <v>15</v>
      </c>
      <c r="V3" s="16"/>
      <c r="W3" s="15" t="s">
        <v>22</v>
      </c>
      <c r="X3" s="15" t="s">
        <v>29</v>
      </c>
      <c r="Y3" s="15" t="s">
        <v>18</v>
      </c>
      <c r="Z3" s="15" t="s">
        <v>19</v>
      </c>
      <c r="AA3" s="15" t="s">
        <v>22</v>
      </c>
      <c r="AB3" s="15" t="s">
        <v>29</v>
      </c>
      <c r="AC3" s="15" t="s">
        <v>18</v>
      </c>
      <c r="AD3" s="15" t="s">
        <v>19</v>
      </c>
      <c r="AE3" s="15" t="s">
        <v>22</v>
      </c>
      <c r="AF3" s="15" t="s">
        <v>29</v>
      </c>
      <c r="AG3" s="15" t="s">
        <v>17</v>
      </c>
      <c r="AH3" s="15" t="s">
        <v>19</v>
      </c>
      <c r="AI3" s="15" t="s">
        <v>22</v>
      </c>
      <c r="AJ3" s="15" t="s">
        <v>29</v>
      </c>
      <c r="AK3" s="15" t="s">
        <v>17</v>
      </c>
      <c r="AL3" s="15" t="s">
        <v>19</v>
      </c>
      <c r="AM3" s="15" t="s">
        <v>22</v>
      </c>
      <c r="AN3" s="15" t="s">
        <v>29</v>
      </c>
      <c r="AO3" s="15" t="s">
        <v>49</v>
      </c>
      <c r="AP3" s="15" t="s">
        <v>19</v>
      </c>
      <c r="AQ3" s="15" t="s">
        <v>22</v>
      </c>
      <c r="AR3" s="15" t="s">
        <v>29</v>
      </c>
      <c r="AS3" s="15" t="s">
        <v>49</v>
      </c>
      <c r="AT3" s="15" t="s">
        <v>19</v>
      </c>
      <c r="AU3" s="15" t="s">
        <v>22</v>
      </c>
      <c r="AV3" s="15" t="s">
        <v>29</v>
      </c>
      <c r="AW3" s="15" t="s">
        <v>20</v>
      </c>
      <c r="AX3" s="15" t="s">
        <v>19</v>
      </c>
      <c r="AY3" s="15" t="s">
        <v>34</v>
      </c>
      <c r="AZ3" s="15" t="s">
        <v>29</v>
      </c>
      <c r="BA3" s="15" t="s">
        <v>22</v>
      </c>
      <c r="BB3" s="15" t="s">
        <v>29</v>
      </c>
      <c r="BC3" s="15" t="s">
        <v>22</v>
      </c>
      <c r="BD3" s="15" t="s">
        <v>29</v>
      </c>
      <c r="BE3" s="15" t="s">
        <v>21</v>
      </c>
      <c r="BF3" s="15" t="s">
        <v>19</v>
      </c>
      <c r="BG3" s="15" t="s">
        <v>22</v>
      </c>
      <c r="BH3" s="15" t="s">
        <v>30</v>
      </c>
      <c r="BI3" s="17" t="s">
        <v>23</v>
      </c>
      <c r="BJ3" s="18" t="s">
        <v>9</v>
      </c>
      <c r="BK3" s="19" t="s">
        <v>2</v>
      </c>
    </row>
    <row r="4" spans="2:66" ht="15.5" x14ac:dyDescent="0.35">
      <c r="B4" s="173" t="s">
        <v>83</v>
      </c>
      <c r="C4" s="28" t="s">
        <v>6</v>
      </c>
      <c r="D4" s="142"/>
      <c r="E4" s="20">
        <v>2E-3</v>
      </c>
      <c r="F4" s="44"/>
      <c r="G4" s="21"/>
      <c r="H4" s="21"/>
      <c r="I4" s="20">
        <v>1</v>
      </c>
      <c r="J4" s="1"/>
      <c r="K4" s="1"/>
      <c r="L4" s="1"/>
      <c r="M4" s="1"/>
      <c r="N4" s="1"/>
      <c r="O4" s="1"/>
      <c r="P4" s="1"/>
      <c r="Q4" s="20"/>
      <c r="R4" s="47"/>
      <c r="S4" s="23"/>
      <c r="T4" s="24">
        <v>0.15</v>
      </c>
      <c r="U4" s="25" t="s">
        <v>11</v>
      </c>
      <c r="V4" s="46">
        <f t="shared" ref="V4" si="0">(E4+F4)/(1+T4)</f>
        <v>1.7391304347826088E-3</v>
      </c>
      <c r="W4" s="46"/>
      <c r="X4" s="25" t="s">
        <v>51</v>
      </c>
      <c r="Y4" s="144">
        <v>0.1</v>
      </c>
      <c r="Z4" s="25" t="s">
        <v>11</v>
      </c>
      <c r="AA4" s="1"/>
      <c r="AB4" s="25"/>
      <c r="AC4" s="1"/>
      <c r="AD4" s="1"/>
      <c r="AE4" s="46"/>
      <c r="AF4" s="25" t="s">
        <v>11</v>
      </c>
      <c r="AG4" s="27">
        <v>0.12</v>
      </c>
      <c r="AH4" s="25"/>
      <c r="AI4" s="29"/>
      <c r="AJ4" s="25"/>
      <c r="AK4" s="27"/>
      <c r="AL4" s="25"/>
      <c r="AM4" s="25"/>
      <c r="AN4" s="25"/>
      <c r="AO4" s="25"/>
      <c r="AP4" s="25"/>
      <c r="AQ4" s="25"/>
      <c r="AR4" s="25"/>
      <c r="AS4" s="25"/>
      <c r="AT4" s="25"/>
      <c r="AU4" s="26">
        <f>AU5/V5</f>
        <v>0.9466499666499667</v>
      </c>
      <c r="AV4" s="25" t="s">
        <v>11</v>
      </c>
      <c r="AW4" s="27"/>
      <c r="AX4" s="1"/>
      <c r="AY4" s="26"/>
      <c r="AZ4" s="25"/>
      <c r="BA4" s="20">
        <v>9.7999999999999997E-3</v>
      </c>
      <c r="BB4" s="25" t="s">
        <v>11</v>
      </c>
      <c r="BC4" s="20">
        <v>1.0200000000000001E-2</v>
      </c>
      <c r="BD4" s="25" t="s">
        <v>36</v>
      </c>
      <c r="BE4" s="22"/>
      <c r="BF4" s="25"/>
      <c r="BG4" s="1"/>
      <c r="BH4" s="1"/>
      <c r="BI4" s="141">
        <v>3.3350033350033344E-2</v>
      </c>
      <c r="BJ4" s="1"/>
      <c r="BK4" s="1"/>
      <c r="BL4" s="41"/>
      <c r="BM4" s="30">
        <f t="shared" ref="BM4:BM7" si="1">W4+AA4+AE4+AI4+AM4+AQ4+AU4+BA4+BC4+BI4</f>
        <v>1</v>
      </c>
    </row>
    <row r="5" spans="2:66" ht="15.5" x14ac:dyDescent="0.35">
      <c r="B5" s="174"/>
      <c r="C5" s="42" t="s">
        <v>6</v>
      </c>
      <c r="D5" s="143">
        <v>9999.99</v>
      </c>
      <c r="E5" s="34">
        <f>D5*E4</f>
        <v>19.999980000000001</v>
      </c>
      <c r="F5" s="32"/>
      <c r="G5" s="33"/>
      <c r="H5" s="33"/>
      <c r="I5" s="33">
        <f>E5*I4</f>
        <v>19.999980000000001</v>
      </c>
      <c r="J5" s="33"/>
      <c r="K5" s="33"/>
      <c r="L5" s="33"/>
      <c r="M5" s="33"/>
      <c r="N5" s="33"/>
      <c r="O5" s="33"/>
      <c r="P5" s="33"/>
      <c r="Q5" s="33"/>
      <c r="R5" s="36"/>
      <c r="S5" s="34"/>
      <c r="T5" s="35">
        <f t="shared" ref="T5" si="2">(E5-E5/(1+T4))+(F5-F5/(1+T4))</f>
        <v>2.608693043478258</v>
      </c>
      <c r="U5" s="33"/>
      <c r="V5" s="36">
        <f t="shared" ref="V5" si="3">(E5+F5)/(1+T4)</f>
        <v>17.391286956521743</v>
      </c>
      <c r="W5" s="36">
        <v>0</v>
      </c>
      <c r="X5" s="37"/>
      <c r="Y5" s="36">
        <f>W5*Y4</f>
        <v>0</v>
      </c>
      <c r="Z5" s="37"/>
      <c r="AA5" s="33"/>
      <c r="AB5" s="37"/>
      <c r="AC5" s="33"/>
      <c r="AD5" s="33"/>
      <c r="AE5" s="36">
        <v>0</v>
      </c>
      <c r="AF5" s="37"/>
      <c r="AG5" s="145">
        <f>AE5*AG4</f>
        <v>0</v>
      </c>
      <c r="AH5" s="43"/>
      <c r="AI5" s="31"/>
      <c r="AJ5" s="37"/>
      <c r="AK5" s="31"/>
      <c r="AL5" s="33"/>
      <c r="AM5" s="33"/>
      <c r="AN5" s="33"/>
      <c r="AO5" s="33"/>
      <c r="AP5" s="33"/>
      <c r="AQ5" s="33"/>
      <c r="AR5" s="33"/>
      <c r="AS5" s="33"/>
      <c r="AT5" s="33"/>
      <c r="AU5" s="31">
        <f>E5-T5-W5-AE5-BA5-BC5-BI5</f>
        <v>16.463461217391309</v>
      </c>
      <c r="AV5" s="38"/>
      <c r="AW5" s="39"/>
      <c r="AX5" s="40"/>
      <c r="AY5" s="31"/>
      <c r="AZ5" s="37"/>
      <c r="BA5" s="31">
        <f t="shared" ref="BA5" si="4">BA4*V5</f>
        <v>0.17043461217391306</v>
      </c>
      <c r="BB5" s="37"/>
      <c r="BC5" s="31">
        <f t="shared" ref="BC5:BC7" si="5">(E5+F5)/(1+T4)*BC4</f>
        <v>0.17739112695652179</v>
      </c>
      <c r="BD5" s="37"/>
      <c r="BE5" s="33"/>
      <c r="BF5" s="37"/>
      <c r="BG5" s="33"/>
      <c r="BH5" s="33"/>
      <c r="BI5" s="31">
        <f t="shared" ref="BI5:BI35" si="6">(E5+F5)/(1+T4)*BI4</f>
        <v>0.57999999999999996</v>
      </c>
      <c r="BJ5" s="33"/>
      <c r="BK5" s="33"/>
      <c r="BL5" s="41"/>
      <c r="BM5" s="50">
        <f t="shared" si="1"/>
        <v>17.391286956521743</v>
      </c>
      <c r="BN5" s="50">
        <f>BM5-V5</f>
        <v>0</v>
      </c>
    </row>
    <row r="6" spans="2:66" ht="15.5" x14ac:dyDescent="0.35">
      <c r="B6" s="174"/>
      <c r="C6" s="28" t="s">
        <v>7</v>
      </c>
      <c r="D6" s="142"/>
      <c r="E6" s="20">
        <v>2E-3</v>
      </c>
      <c r="F6" s="45"/>
      <c r="G6" s="20"/>
      <c r="H6" s="21"/>
      <c r="I6" s="20">
        <v>1</v>
      </c>
      <c r="J6" s="1"/>
      <c r="K6" s="1"/>
      <c r="L6" s="1"/>
      <c r="M6" s="1"/>
      <c r="N6" s="1"/>
      <c r="O6" s="1"/>
      <c r="P6" s="1"/>
      <c r="Q6" s="20"/>
      <c r="R6" s="47"/>
      <c r="S6" s="49">
        <f>AY6</f>
        <v>1.132625</v>
      </c>
      <c r="T6" s="24">
        <v>0.15</v>
      </c>
      <c r="U6" s="25" t="s">
        <v>11</v>
      </c>
      <c r="V6" s="46">
        <f t="shared" ref="V6" si="7">(E6+F6)/(1+T6)</f>
        <v>1.7391304347826088E-3</v>
      </c>
      <c r="W6" s="46"/>
      <c r="X6" s="25" t="s">
        <v>51</v>
      </c>
      <c r="Y6" s="144">
        <v>0.1</v>
      </c>
      <c r="Z6" s="25" t="s">
        <v>11</v>
      </c>
      <c r="AA6" s="1"/>
      <c r="AB6" s="25"/>
      <c r="AC6" s="1"/>
      <c r="AD6" s="1"/>
      <c r="AE6" s="46"/>
      <c r="AF6" s="25" t="s">
        <v>11</v>
      </c>
      <c r="AG6" s="27">
        <v>0.12</v>
      </c>
      <c r="AH6" s="25"/>
      <c r="AI6" s="29"/>
      <c r="AJ6" s="25"/>
      <c r="AK6" s="27"/>
      <c r="AL6" s="25"/>
      <c r="AM6" s="25"/>
      <c r="AN6" s="25"/>
      <c r="AO6" s="25"/>
      <c r="AP6" s="25"/>
      <c r="AQ6" s="25"/>
      <c r="AR6" s="25"/>
      <c r="AS6" s="25"/>
      <c r="AT6" s="25"/>
      <c r="AU6" s="26">
        <f>AU7/V7</f>
        <v>0.91502493502493509</v>
      </c>
      <c r="AV6" s="25" t="s">
        <v>11</v>
      </c>
      <c r="AW6" s="27"/>
      <c r="AX6" s="1"/>
      <c r="AY6" s="48">
        <f>0.85*133.25%</f>
        <v>1.132625</v>
      </c>
      <c r="AZ6" s="25" t="s">
        <v>11</v>
      </c>
      <c r="BA6" s="20">
        <v>9.7999999999999997E-3</v>
      </c>
      <c r="BB6" s="25" t="s">
        <v>11</v>
      </c>
      <c r="BC6" s="20">
        <v>1.0200000000000001E-2</v>
      </c>
      <c r="BD6" s="25" t="s">
        <v>36</v>
      </c>
      <c r="BE6" s="22"/>
      <c r="BF6" s="25"/>
      <c r="BG6" s="1"/>
      <c r="BH6" s="1"/>
      <c r="BI6" s="141">
        <v>6.4975064975064958E-2</v>
      </c>
      <c r="BJ6" s="1"/>
      <c r="BK6" s="1"/>
      <c r="BL6" s="41"/>
      <c r="BM6" s="30">
        <f t="shared" si="1"/>
        <v>1</v>
      </c>
    </row>
    <row r="7" spans="2:66" ht="15.5" x14ac:dyDescent="0.35">
      <c r="B7" s="175"/>
      <c r="C7" s="42" t="s">
        <v>7</v>
      </c>
      <c r="D7" s="143">
        <v>9999.99</v>
      </c>
      <c r="E7" s="34">
        <f>D7*E6</f>
        <v>19.999980000000001</v>
      </c>
      <c r="F7" s="32"/>
      <c r="G7" s="33"/>
      <c r="H7" s="33"/>
      <c r="I7" s="33">
        <f>E7*I6</f>
        <v>19.999980000000001</v>
      </c>
      <c r="J7" s="33"/>
      <c r="K7" s="33"/>
      <c r="L7" s="33"/>
      <c r="M7" s="33"/>
      <c r="N7" s="33"/>
      <c r="O7" s="33"/>
      <c r="P7" s="33"/>
      <c r="Q7" s="33"/>
      <c r="R7" s="36"/>
      <c r="S7" s="34"/>
      <c r="T7" s="35">
        <f t="shared" ref="T7" si="8">(E7-E7/(1+T6))+(F7-F7/(1+T6))</f>
        <v>2.608693043478258</v>
      </c>
      <c r="U7" s="33"/>
      <c r="V7" s="36">
        <f t="shared" ref="V7" si="9">(E7+F7)/(1+T6)</f>
        <v>17.391286956521743</v>
      </c>
      <c r="W7" s="36">
        <v>0</v>
      </c>
      <c r="X7" s="37"/>
      <c r="Y7" s="36">
        <f>W7*Y6</f>
        <v>0</v>
      </c>
      <c r="Z7" s="37"/>
      <c r="AA7" s="33"/>
      <c r="AB7" s="37"/>
      <c r="AC7" s="33"/>
      <c r="AD7" s="33"/>
      <c r="AE7" s="36">
        <v>0</v>
      </c>
      <c r="AF7" s="37"/>
      <c r="AG7" s="145">
        <f>AE7*AG6</f>
        <v>0</v>
      </c>
      <c r="AH7" s="38"/>
      <c r="AI7" s="31"/>
      <c r="AJ7" s="37"/>
      <c r="AK7" s="31"/>
      <c r="AL7" s="33"/>
      <c r="AM7" s="33"/>
      <c r="AN7" s="33"/>
      <c r="AO7" s="33"/>
      <c r="AP7" s="33"/>
      <c r="AQ7" s="33"/>
      <c r="AR7" s="33"/>
      <c r="AS7" s="33"/>
      <c r="AT7" s="33"/>
      <c r="AU7" s="31">
        <f>E7-T7-W7-AE7-BA7-BC7-BI7</f>
        <v>15.913461217391308</v>
      </c>
      <c r="AV7" s="38"/>
      <c r="AW7" s="39"/>
      <c r="AX7" s="40"/>
      <c r="AY7" s="31"/>
      <c r="AZ7" s="37"/>
      <c r="BA7" s="31">
        <f t="shared" ref="BA7" si="10">BA6*V7</f>
        <v>0.17043461217391306</v>
      </c>
      <c r="BB7" s="37"/>
      <c r="BC7" s="31">
        <f t="shared" si="5"/>
        <v>0.17739112695652179</v>
      </c>
      <c r="BD7" s="37"/>
      <c r="BE7" s="33"/>
      <c r="BF7" s="37"/>
      <c r="BG7" s="33"/>
      <c r="BH7" s="33"/>
      <c r="BI7" s="31">
        <f t="shared" si="6"/>
        <v>1.1299999999999999</v>
      </c>
      <c r="BJ7" s="33"/>
      <c r="BK7" s="33"/>
      <c r="BL7" s="41"/>
      <c r="BM7" s="50">
        <f t="shared" si="1"/>
        <v>17.391286956521743</v>
      </c>
      <c r="BN7" s="50">
        <f>BM7-V7</f>
        <v>0</v>
      </c>
    </row>
    <row r="8" spans="2:66" ht="15.5" x14ac:dyDescent="0.35">
      <c r="B8" s="173" t="s">
        <v>84</v>
      </c>
      <c r="C8" s="28" t="s">
        <v>6</v>
      </c>
      <c r="D8" s="142"/>
      <c r="E8" s="20">
        <v>2E-3</v>
      </c>
      <c r="F8" s="44"/>
      <c r="G8" s="21"/>
      <c r="H8" s="21"/>
      <c r="I8" s="20">
        <v>1</v>
      </c>
      <c r="J8" s="1"/>
      <c r="K8" s="1"/>
      <c r="L8" s="1"/>
      <c r="M8" s="1"/>
      <c r="N8" s="1"/>
      <c r="O8" s="1"/>
      <c r="P8" s="1"/>
      <c r="Q8" s="20"/>
      <c r="R8" s="47"/>
      <c r="S8" s="23"/>
      <c r="T8" s="24">
        <v>0.15</v>
      </c>
      <c r="U8" s="25" t="s">
        <v>11</v>
      </c>
      <c r="V8" s="46">
        <f t="shared" ref="V8" si="11">(E8+F8)/(1+T8)</f>
        <v>1.7391304347826088E-3</v>
      </c>
      <c r="W8" s="46"/>
      <c r="X8" s="25" t="s">
        <v>51</v>
      </c>
      <c r="Y8" s="144">
        <v>0.1</v>
      </c>
      <c r="Z8" s="25" t="s">
        <v>11</v>
      </c>
      <c r="AA8" s="1"/>
      <c r="AB8" s="25"/>
      <c r="AC8" s="1"/>
      <c r="AD8" s="1"/>
      <c r="AE8" s="46"/>
      <c r="AF8" s="25" t="s">
        <v>11</v>
      </c>
      <c r="AG8" s="27">
        <v>0.12</v>
      </c>
      <c r="AH8" s="25"/>
      <c r="AI8" s="29"/>
      <c r="AJ8" s="25"/>
      <c r="AK8" s="27"/>
      <c r="AL8" s="25"/>
      <c r="AM8" s="25"/>
      <c r="AN8" s="25"/>
      <c r="AO8" s="25"/>
      <c r="AP8" s="25"/>
      <c r="AQ8" s="25"/>
      <c r="AR8" s="25"/>
      <c r="AS8" s="25"/>
      <c r="AT8" s="25"/>
      <c r="AU8" s="26">
        <f>AU9/V9</f>
        <v>0.5930828706744995</v>
      </c>
      <c r="AV8" s="25" t="s">
        <v>11</v>
      </c>
      <c r="AW8" s="27"/>
      <c r="AX8" s="1"/>
      <c r="AY8" s="26"/>
      <c r="AZ8" s="25"/>
      <c r="BA8" s="20">
        <v>9.7999999999999997E-3</v>
      </c>
      <c r="BB8" s="25" t="s">
        <v>11</v>
      </c>
      <c r="BC8" s="20">
        <v>1.0200000000000001E-2</v>
      </c>
      <c r="BD8" s="25" t="s">
        <v>36</v>
      </c>
      <c r="BE8" s="22"/>
      <c r="BF8" s="25"/>
      <c r="BG8" s="1"/>
      <c r="BH8" s="1"/>
      <c r="BI8" s="141">
        <v>3.3350033350033344E-2</v>
      </c>
      <c r="BJ8" s="1"/>
      <c r="BK8" s="1"/>
      <c r="BL8" s="41"/>
      <c r="BM8" s="30">
        <f t="shared" ref="BM8:BM11" si="12">W8+AA8+AE8+AI8+AM8+AQ8+AU8+BA8+BC8+BI8</f>
        <v>0.64643290402453291</v>
      </c>
    </row>
    <row r="9" spans="2:66" ht="15.5" x14ac:dyDescent="0.35">
      <c r="B9" s="174"/>
      <c r="C9" s="42" t="s">
        <v>6</v>
      </c>
      <c r="D9" s="143">
        <v>19999.990000000002</v>
      </c>
      <c r="E9" s="34">
        <f>D9*E8</f>
        <v>39.999980000000001</v>
      </c>
      <c r="F9" s="32"/>
      <c r="G9" s="33"/>
      <c r="H9" s="33"/>
      <c r="I9" s="33">
        <f>E9*I8</f>
        <v>39.999980000000001</v>
      </c>
      <c r="J9" s="33"/>
      <c r="K9" s="33"/>
      <c r="L9" s="33"/>
      <c r="M9" s="33"/>
      <c r="N9" s="33"/>
      <c r="O9" s="33"/>
      <c r="P9" s="33"/>
      <c r="Q9" s="33"/>
      <c r="R9" s="36"/>
      <c r="S9" s="34"/>
      <c r="T9" s="35">
        <f t="shared" ref="T9" si="13">(E9-E9/(1+T8))+(F9-F9/(1+T8))</f>
        <v>5.2173886956521685</v>
      </c>
      <c r="U9" s="33"/>
      <c r="V9" s="36">
        <f t="shared" ref="V9" si="14">(E9+F9)/(1+T8)</f>
        <v>34.782591304347832</v>
      </c>
      <c r="W9" s="36">
        <v>8.8888888888888893</v>
      </c>
      <c r="X9" s="37"/>
      <c r="Y9" s="36">
        <f>W9*Y8</f>
        <v>0.88888888888888895</v>
      </c>
      <c r="Z9" s="37"/>
      <c r="AA9" s="33"/>
      <c r="AB9" s="37"/>
      <c r="AC9" s="33"/>
      <c r="AD9" s="33"/>
      <c r="AE9" s="36">
        <v>3.4090909090909092</v>
      </c>
      <c r="AF9" s="37"/>
      <c r="AG9" s="145">
        <f>AE9*AG8</f>
        <v>0.40909090909090906</v>
      </c>
      <c r="AH9" s="43"/>
      <c r="AI9" s="31"/>
      <c r="AJ9" s="37"/>
      <c r="AK9" s="31"/>
      <c r="AL9" s="33"/>
      <c r="AM9" s="33"/>
      <c r="AN9" s="33"/>
      <c r="AO9" s="33"/>
      <c r="AP9" s="33"/>
      <c r="AQ9" s="33"/>
      <c r="AR9" s="33"/>
      <c r="AS9" s="33"/>
      <c r="AT9" s="33"/>
      <c r="AU9" s="31">
        <f>E9-T9-W9-AE9-BA9-BC9-BI9</f>
        <v>20.628959100280497</v>
      </c>
      <c r="AV9" s="38"/>
      <c r="AW9" s="39"/>
      <c r="AX9" s="40"/>
      <c r="AY9" s="31"/>
      <c r="AZ9" s="37"/>
      <c r="BA9" s="31">
        <f t="shared" ref="BA9" si="15">BA8*V9</f>
        <v>0.34086939478260875</v>
      </c>
      <c r="BB9" s="37"/>
      <c r="BC9" s="31">
        <f t="shared" ref="BC9" si="16">(E9+F9)/(1+T8)*BC8</f>
        <v>0.35478243130434789</v>
      </c>
      <c r="BD9" s="37"/>
      <c r="BE9" s="33"/>
      <c r="BF9" s="37"/>
      <c r="BG9" s="33"/>
      <c r="BH9" s="33"/>
      <c r="BI9" s="31">
        <f t="shared" si="6"/>
        <v>1.1600005800005799</v>
      </c>
      <c r="BJ9" s="33"/>
      <c r="BK9" s="33"/>
      <c r="BL9" s="41"/>
      <c r="BM9" s="50">
        <f t="shared" si="12"/>
        <v>34.782591304347832</v>
      </c>
      <c r="BN9" s="50">
        <f>BM9-V9</f>
        <v>0</v>
      </c>
    </row>
    <row r="10" spans="2:66" ht="15.5" x14ac:dyDescent="0.35">
      <c r="B10" s="174"/>
      <c r="C10" s="28" t="s">
        <v>7</v>
      </c>
      <c r="D10" s="142"/>
      <c r="E10" s="20">
        <v>2E-3</v>
      </c>
      <c r="F10" s="45"/>
      <c r="G10" s="20"/>
      <c r="H10" s="21"/>
      <c r="I10" s="20">
        <v>1</v>
      </c>
      <c r="J10" s="1"/>
      <c r="K10" s="1"/>
      <c r="L10" s="1"/>
      <c r="M10" s="1"/>
      <c r="N10" s="1"/>
      <c r="O10" s="1"/>
      <c r="P10" s="1"/>
      <c r="Q10" s="20"/>
      <c r="R10" s="47"/>
      <c r="S10" s="49">
        <f>AY10</f>
        <v>1.132625</v>
      </c>
      <c r="T10" s="24">
        <v>0.15</v>
      </c>
      <c r="U10" s="25" t="s">
        <v>11</v>
      </c>
      <c r="V10" s="46">
        <f t="shared" ref="V10" si="17">(E10+F10)/(1+T10)</f>
        <v>1.7391304347826088E-3</v>
      </c>
      <c r="W10" s="46"/>
      <c r="X10" s="25" t="s">
        <v>51</v>
      </c>
      <c r="Y10" s="144">
        <v>0.1</v>
      </c>
      <c r="Z10" s="25" t="s">
        <v>11</v>
      </c>
      <c r="AA10" s="1"/>
      <c r="AB10" s="25"/>
      <c r="AC10" s="1"/>
      <c r="AD10" s="1"/>
      <c r="AE10" s="46"/>
      <c r="AF10" s="25" t="s">
        <v>11</v>
      </c>
      <c r="AG10" s="27">
        <v>0.12</v>
      </c>
      <c r="AH10" s="25"/>
      <c r="AI10" s="29"/>
      <c r="AJ10" s="25"/>
      <c r="AK10" s="27"/>
      <c r="AL10" s="25"/>
      <c r="AM10" s="25"/>
      <c r="AN10" s="25"/>
      <c r="AO10" s="25"/>
      <c r="AP10" s="25"/>
      <c r="AQ10" s="25"/>
      <c r="AR10" s="25"/>
      <c r="AS10" s="25"/>
      <c r="AT10" s="25"/>
      <c r="AU10" s="26">
        <f>AU11/V11</f>
        <v>0.561457839049468</v>
      </c>
      <c r="AV10" s="25" t="s">
        <v>11</v>
      </c>
      <c r="AW10" s="27"/>
      <c r="AX10" s="1"/>
      <c r="AY10" s="48">
        <f>0.85*133.25%</f>
        <v>1.132625</v>
      </c>
      <c r="AZ10" s="25" t="s">
        <v>11</v>
      </c>
      <c r="BA10" s="20">
        <v>9.7999999999999997E-3</v>
      </c>
      <c r="BB10" s="25" t="s">
        <v>11</v>
      </c>
      <c r="BC10" s="20">
        <v>1.0200000000000001E-2</v>
      </c>
      <c r="BD10" s="25" t="s">
        <v>36</v>
      </c>
      <c r="BE10" s="22"/>
      <c r="BF10" s="25"/>
      <c r="BG10" s="1"/>
      <c r="BH10" s="1"/>
      <c r="BI10" s="141">
        <v>6.4975064975064958E-2</v>
      </c>
      <c r="BJ10" s="1"/>
      <c r="BK10" s="1"/>
      <c r="BL10" s="41"/>
      <c r="BM10" s="30">
        <f t="shared" si="12"/>
        <v>0.64643290402453302</v>
      </c>
    </row>
    <row r="11" spans="2:66" ht="15.5" x14ac:dyDescent="0.35">
      <c r="B11" s="175"/>
      <c r="C11" s="42" t="s">
        <v>7</v>
      </c>
      <c r="D11" s="143">
        <v>19999.990000000002</v>
      </c>
      <c r="E11" s="34">
        <f>D11*E10</f>
        <v>39.999980000000001</v>
      </c>
      <c r="F11" s="32"/>
      <c r="G11" s="33"/>
      <c r="H11" s="33"/>
      <c r="I11" s="33">
        <f>E11*I10</f>
        <v>39.999980000000001</v>
      </c>
      <c r="J11" s="33"/>
      <c r="K11" s="33"/>
      <c r="L11" s="33"/>
      <c r="M11" s="33"/>
      <c r="N11" s="33"/>
      <c r="O11" s="33"/>
      <c r="P11" s="33"/>
      <c r="Q11" s="33"/>
      <c r="R11" s="36"/>
      <c r="S11" s="34"/>
      <c r="T11" s="35">
        <f t="shared" ref="T11" si="18">(E11-E11/(1+T10))+(F11-F11/(1+T10))</f>
        <v>5.2173886956521685</v>
      </c>
      <c r="U11" s="33"/>
      <c r="V11" s="36">
        <f t="shared" ref="V11" si="19">(E11+F11)/(1+T10)</f>
        <v>34.782591304347832</v>
      </c>
      <c r="W11" s="36">
        <v>8.8888888888888893</v>
      </c>
      <c r="X11" s="37"/>
      <c r="Y11" s="36">
        <f>W11*Y10</f>
        <v>0.88888888888888895</v>
      </c>
      <c r="Z11" s="37"/>
      <c r="AA11" s="33"/>
      <c r="AB11" s="37"/>
      <c r="AC11" s="33"/>
      <c r="AD11" s="33"/>
      <c r="AE11" s="36">
        <v>3.4090909090909092</v>
      </c>
      <c r="AF11" s="37"/>
      <c r="AG11" s="145">
        <f>AE11*AG10</f>
        <v>0.40909090909090906</v>
      </c>
      <c r="AH11" s="38"/>
      <c r="AI11" s="31"/>
      <c r="AJ11" s="37"/>
      <c r="AK11" s="31"/>
      <c r="AL11" s="33"/>
      <c r="AM11" s="33"/>
      <c r="AN11" s="33"/>
      <c r="AO11" s="33"/>
      <c r="AP11" s="33"/>
      <c r="AQ11" s="33"/>
      <c r="AR11" s="33"/>
      <c r="AS11" s="33"/>
      <c r="AT11" s="33"/>
      <c r="AU11" s="31">
        <f>E11-T11-W11-AE11-BA11-BC11-BI11</f>
        <v>19.528958550279949</v>
      </c>
      <c r="AV11" s="38"/>
      <c r="AW11" s="39"/>
      <c r="AX11" s="40"/>
      <c r="AY11" s="31"/>
      <c r="AZ11" s="37"/>
      <c r="BA11" s="31">
        <f t="shared" ref="BA11" si="20">BA10*V11</f>
        <v>0.34086939478260875</v>
      </c>
      <c r="BB11" s="37"/>
      <c r="BC11" s="31">
        <f t="shared" ref="BC11" si="21">(E11+F11)/(1+T10)*BC10</f>
        <v>0.35478243130434789</v>
      </c>
      <c r="BD11" s="37"/>
      <c r="BE11" s="33"/>
      <c r="BF11" s="37"/>
      <c r="BG11" s="33"/>
      <c r="BH11" s="33"/>
      <c r="BI11" s="31">
        <f t="shared" si="6"/>
        <v>2.2600011300011298</v>
      </c>
      <c r="BJ11" s="33"/>
      <c r="BK11" s="33"/>
      <c r="BL11" s="41"/>
      <c r="BM11" s="50">
        <f t="shared" si="12"/>
        <v>34.782591304347839</v>
      </c>
      <c r="BN11" s="50">
        <f>BM11-V11</f>
        <v>0</v>
      </c>
    </row>
    <row r="12" spans="2:66" ht="15.5" x14ac:dyDescent="0.35">
      <c r="B12" s="173" t="s">
        <v>85</v>
      </c>
      <c r="C12" s="28" t="s">
        <v>6</v>
      </c>
      <c r="D12" s="142"/>
      <c r="E12" s="20">
        <v>2E-3</v>
      </c>
      <c r="F12" s="44"/>
      <c r="G12" s="21"/>
      <c r="H12" s="21"/>
      <c r="I12" s="20">
        <v>1</v>
      </c>
      <c r="J12" s="1"/>
      <c r="K12" s="1"/>
      <c r="L12" s="1"/>
      <c r="M12" s="1"/>
      <c r="N12" s="1"/>
      <c r="O12" s="1"/>
      <c r="P12" s="1"/>
      <c r="Q12" s="20"/>
      <c r="R12" s="47"/>
      <c r="S12" s="23"/>
      <c r="T12" s="24">
        <v>0.15</v>
      </c>
      <c r="U12" s="25" t="s">
        <v>11</v>
      </c>
      <c r="V12" s="46">
        <f t="shared" ref="V12" si="22">(E12+F12)/(1+T12)</f>
        <v>1.7391304347826088E-3</v>
      </c>
      <c r="W12" s="46"/>
      <c r="X12" s="25" t="s">
        <v>51</v>
      </c>
      <c r="Y12" s="144">
        <v>0.1</v>
      </c>
      <c r="Z12" s="25" t="s">
        <v>11</v>
      </c>
      <c r="AA12" s="1"/>
      <c r="AB12" s="25"/>
      <c r="AC12" s="1"/>
      <c r="AD12" s="1"/>
      <c r="AE12" s="46"/>
      <c r="AF12" s="25" t="s">
        <v>11</v>
      </c>
      <c r="AG12" s="27">
        <v>0.12</v>
      </c>
      <c r="AH12" s="25"/>
      <c r="AI12" s="29"/>
      <c r="AJ12" s="25"/>
      <c r="AK12" s="27"/>
      <c r="AL12" s="25"/>
      <c r="AM12" s="25"/>
      <c r="AN12" s="25"/>
      <c r="AO12" s="25"/>
      <c r="AP12" s="25"/>
      <c r="AQ12" s="25"/>
      <c r="AR12" s="25"/>
      <c r="AS12" s="25"/>
      <c r="AT12" s="25"/>
      <c r="AU12" s="26">
        <f>AU13/V13</f>
        <v>0.66379637472571273</v>
      </c>
      <c r="AV12" s="25" t="s">
        <v>11</v>
      </c>
      <c r="AW12" s="27"/>
      <c r="AX12" s="1"/>
      <c r="AY12" s="26"/>
      <c r="AZ12" s="25"/>
      <c r="BA12" s="20">
        <v>9.7999999999999997E-3</v>
      </c>
      <c r="BB12" s="25" t="s">
        <v>11</v>
      </c>
      <c r="BC12" s="20">
        <v>1.0200000000000001E-2</v>
      </c>
      <c r="BD12" s="25" t="s">
        <v>36</v>
      </c>
      <c r="BE12" s="22"/>
      <c r="BF12" s="25"/>
      <c r="BG12" s="1"/>
      <c r="BH12" s="1"/>
      <c r="BI12" s="141">
        <v>3.3350033350033344E-2</v>
      </c>
      <c r="BJ12" s="1"/>
      <c r="BK12" s="1"/>
      <c r="BL12" s="41"/>
      <c r="BM12" s="30">
        <f t="shared" ref="BM12:BM15" si="23">W12+AA12+AE12+AI12+AM12+AQ12+AU12+BA12+BC12+BI12</f>
        <v>0.71714640807574614</v>
      </c>
    </row>
    <row r="13" spans="2:66" ht="15.5" x14ac:dyDescent="0.35">
      <c r="B13" s="174"/>
      <c r="C13" s="42" t="s">
        <v>6</v>
      </c>
      <c r="D13" s="143">
        <v>49999.99</v>
      </c>
      <c r="E13" s="34">
        <f>D13*E12</f>
        <v>99.999979999999994</v>
      </c>
      <c r="F13" s="32"/>
      <c r="G13" s="33"/>
      <c r="H13" s="33"/>
      <c r="I13" s="33">
        <f>E13*I12</f>
        <v>99.999979999999994</v>
      </c>
      <c r="J13" s="33"/>
      <c r="K13" s="33"/>
      <c r="L13" s="33"/>
      <c r="M13" s="33"/>
      <c r="N13" s="33"/>
      <c r="O13" s="33"/>
      <c r="P13" s="33"/>
      <c r="Q13" s="33"/>
      <c r="R13" s="36"/>
      <c r="S13" s="34"/>
      <c r="T13" s="35">
        <f t="shared" ref="T13" si="24">(E13-E13/(1+T12))+(F13-F13/(1+T12))</f>
        <v>13.04347565217391</v>
      </c>
      <c r="U13" s="33"/>
      <c r="V13" s="36">
        <f t="shared" ref="V13" si="25">(E13+F13)/(1+T12)</f>
        <v>86.956504347826083</v>
      </c>
      <c r="W13" s="36">
        <v>17.777777777777779</v>
      </c>
      <c r="X13" s="37"/>
      <c r="Y13" s="36">
        <f>W13*Y12</f>
        <v>1.7777777777777779</v>
      </c>
      <c r="Z13" s="37"/>
      <c r="AA13" s="33"/>
      <c r="AB13" s="37"/>
      <c r="AC13" s="33"/>
      <c r="AD13" s="33"/>
      <c r="AE13" s="36">
        <v>6.8181818181818183</v>
      </c>
      <c r="AF13" s="37"/>
      <c r="AG13" s="145">
        <f>AE13*AG12</f>
        <v>0.81818181818181812</v>
      </c>
      <c r="AH13" s="43"/>
      <c r="AI13" s="31"/>
      <c r="AJ13" s="37"/>
      <c r="AK13" s="31"/>
      <c r="AL13" s="33"/>
      <c r="AM13" s="33"/>
      <c r="AN13" s="33"/>
      <c r="AO13" s="33"/>
      <c r="AP13" s="33"/>
      <c r="AQ13" s="33"/>
      <c r="AR13" s="33"/>
      <c r="AS13" s="33"/>
      <c r="AT13" s="33"/>
      <c r="AU13" s="31">
        <f>E13-T13-W13-AE13-BA13-BC13-BI13</f>
        <v>57.721412344907634</v>
      </c>
      <c r="AV13" s="38"/>
      <c r="AW13" s="39"/>
      <c r="AX13" s="40"/>
      <c r="AY13" s="31"/>
      <c r="AZ13" s="37"/>
      <c r="BA13" s="31">
        <f t="shared" ref="BA13" si="26">BA12*V13</f>
        <v>0.85217374260869561</v>
      </c>
      <c r="BB13" s="37"/>
      <c r="BC13" s="31">
        <f t="shared" ref="BC13" si="27">(E13+F13)/(1+T12)*BC12</f>
        <v>0.88695634434782611</v>
      </c>
      <c r="BD13" s="37"/>
      <c r="BE13" s="33"/>
      <c r="BF13" s="37"/>
      <c r="BG13" s="33"/>
      <c r="BH13" s="33"/>
      <c r="BI13" s="31">
        <f t="shared" si="6"/>
        <v>2.9000023200023195</v>
      </c>
      <c r="BJ13" s="33"/>
      <c r="BK13" s="33"/>
      <c r="BL13" s="41"/>
      <c r="BM13" s="50">
        <f t="shared" si="23"/>
        <v>86.956504347826069</v>
      </c>
      <c r="BN13" s="50">
        <f>BM13-V13</f>
        <v>0</v>
      </c>
    </row>
    <row r="14" spans="2:66" ht="15.5" x14ac:dyDescent="0.35">
      <c r="B14" s="174"/>
      <c r="C14" s="28" t="s">
        <v>7</v>
      </c>
      <c r="D14" s="142"/>
      <c r="E14" s="20">
        <v>2E-3</v>
      </c>
      <c r="F14" s="45"/>
      <c r="G14" s="20"/>
      <c r="H14" s="21"/>
      <c r="I14" s="20">
        <v>1</v>
      </c>
      <c r="J14" s="1"/>
      <c r="K14" s="1"/>
      <c r="L14" s="1"/>
      <c r="M14" s="1"/>
      <c r="N14" s="1"/>
      <c r="O14" s="1"/>
      <c r="P14" s="1"/>
      <c r="Q14" s="20"/>
      <c r="R14" s="47"/>
      <c r="S14" s="49">
        <f>AY14</f>
        <v>1.132625</v>
      </c>
      <c r="T14" s="24">
        <v>0.15</v>
      </c>
      <c r="U14" s="25" t="s">
        <v>11</v>
      </c>
      <c r="V14" s="46">
        <f t="shared" ref="V14" si="28">(E14+F14)/(1+T14)</f>
        <v>1.7391304347826088E-3</v>
      </c>
      <c r="W14" s="46"/>
      <c r="X14" s="25" t="s">
        <v>51</v>
      </c>
      <c r="Y14" s="144">
        <v>0.1</v>
      </c>
      <c r="Z14" s="25" t="s">
        <v>11</v>
      </c>
      <c r="AA14" s="1"/>
      <c r="AB14" s="25"/>
      <c r="AC14" s="1"/>
      <c r="AD14" s="1"/>
      <c r="AE14" s="46"/>
      <c r="AF14" s="25" t="s">
        <v>11</v>
      </c>
      <c r="AG14" s="27">
        <v>0.12</v>
      </c>
      <c r="AH14" s="25"/>
      <c r="AI14" s="29"/>
      <c r="AJ14" s="25"/>
      <c r="AK14" s="27"/>
      <c r="AL14" s="25"/>
      <c r="AM14" s="25"/>
      <c r="AN14" s="25"/>
      <c r="AO14" s="25"/>
      <c r="AP14" s="25"/>
      <c r="AQ14" s="25"/>
      <c r="AR14" s="25"/>
      <c r="AS14" s="25"/>
      <c r="AT14" s="25"/>
      <c r="AU14" s="26">
        <f>AU15/V15</f>
        <v>0.63217134310068113</v>
      </c>
      <c r="AV14" s="25" t="s">
        <v>11</v>
      </c>
      <c r="AW14" s="27"/>
      <c r="AX14" s="1"/>
      <c r="AY14" s="48">
        <f>0.85*133.25%</f>
        <v>1.132625</v>
      </c>
      <c r="AZ14" s="25" t="s">
        <v>11</v>
      </c>
      <c r="BA14" s="20">
        <v>9.7999999999999997E-3</v>
      </c>
      <c r="BB14" s="25" t="s">
        <v>11</v>
      </c>
      <c r="BC14" s="20">
        <v>1.0200000000000001E-2</v>
      </c>
      <c r="BD14" s="25" t="s">
        <v>36</v>
      </c>
      <c r="BE14" s="22"/>
      <c r="BF14" s="25"/>
      <c r="BG14" s="1"/>
      <c r="BH14" s="1"/>
      <c r="BI14" s="141">
        <v>6.4975064975064958E-2</v>
      </c>
      <c r="BJ14" s="1"/>
      <c r="BK14" s="1"/>
      <c r="BL14" s="41"/>
      <c r="BM14" s="30">
        <f t="shared" si="23"/>
        <v>0.71714640807574614</v>
      </c>
    </row>
    <row r="15" spans="2:66" ht="15.5" x14ac:dyDescent="0.35">
      <c r="B15" s="175"/>
      <c r="C15" s="42" t="s">
        <v>7</v>
      </c>
      <c r="D15" s="143">
        <v>49999.99</v>
      </c>
      <c r="E15" s="34">
        <f>D15*E14</f>
        <v>99.999979999999994</v>
      </c>
      <c r="F15" s="32"/>
      <c r="G15" s="33"/>
      <c r="H15" s="33"/>
      <c r="I15" s="33">
        <f>E15*I14</f>
        <v>99.999979999999994</v>
      </c>
      <c r="J15" s="33"/>
      <c r="K15" s="33"/>
      <c r="L15" s="33"/>
      <c r="M15" s="33"/>
      <c r="N15" s="33"/>
      <c r="O15" s="33"/>
      <c r="P15" s="33"/>
      <c r="Q15" s="33"/>
      <c r="R15" s="36"/>
      <c r="S15" s="34"/>
      <c r="T15" s="35">
        <f t="shared" ref="T15" si="29">(E15-E15/(1+T14))+(F15-F15/(1+T14))</f>
        <v>13.04347565217391</v>
      </c>
      <c r="U15" s="33"/>
      <c r="V15" s="36">
        <f t="shared" ref="V15" si="30">(E15+F15)/(1+T14)</f>
        <v>86.956504347826083</v>
      </c>
      <c r="W15" s="36">
        <v>17.777777777777779</v>
      </c>
      <c r="X15" s="37"/>
      <c r="Y15" s="36">
        <f>W15*Y14</f>
        <v>1.7777777777777779</v>
      </c>
      <c r="Z15" s="37"/>
      <c r="AA15" s="33"/>
      <c r="AB15" s="37"/>
      <c r="AC15" s="33"/>
      <c r="AD15" s="33"/>
      <c r="AE15" s="36">
        <v>6.8181818181818183</v>
      </c>
      <c r="AF15" s="37"/>
      <c r="AG15" s="145">
        <f>AE15*AG14</f>
        <v>0.81818181818181812</v>
      </c>
      <c r="AH15" s="38"/>
      <c r="AI15" s="31"/>
      <c r="AJ15" s="37"/>
      <c r="AK15" s="31"/>
      <c r="AL15" s="33"/>
      <c r="AM15" s="33"/>
      <c r="AN15" s="33"/>
      <c r="AO15" s="33"/>
      <c r="AP15" s="33"/>
      <c r="AQ15" s="33"/>
      <c r="AR15" s="33"/>
      <c r="AS15" s="33"/>
      <c r="AT15" s="33"/>
      <c r="AU15" s="31">
        <f>E15-T15-W15-AE15-BA15-BC15-BI15</f>
        <v>54.971410144905434</v>
      </c>
      <c r="AV15" s="38"/>
      <c r="AW15" s="39"/>
      <c r="AX15" s="40"/>
      <c r="AY15" s="31"/>
      <c r="AZ15" s="37"/>
      <c r="BA15" s="31">
        <f t="shared" ref="BA15" si="31">BA14*V15</f>
        <v>0.85217374260869561</v>
      </c>
      <c r="BB15" s="37"/>
      <c r="BC15" s="31">
        <f t="shared" ref="BC15" si="32">(E15+F15)/(1+T14)*BC14</f>
        <v>0.88695634434782611</v>
      </c>
      <c r="BD15" s="37"/>
      <c r="BE15" s="33"/>
      <c r="BF15" s="37"/>
      <c r="BG15" s="33"/>
      <c r="BH15" s="33"/>
      <c r="BI15" s="31">
        <f t="shared" si="6"/>
        <v>5.6500045200045186</v>
      </c>
      <c r="BJ15" s="33"/>
      <c r="BK15" s="33"/>
      <c r="BL15" s="41"/>
      <c r="BM15" s="50">
        <f t="shared" si="23"/>
        <v>86.956504347826069</v>
      </c>
      <c r="BN15" s="50">
        <f>BM15-V15</f>
        <v>0</v>
      </c>
    </row>
    <row r="16" spans="2:66" ht="15.5" x14ac:dyDescent="0.35">
      <c r="B16" s="173" t="s">
        <v>86</v>
      </c>
      <c r="C16" s="28" t="s">
        <v>6</v>
      </c>
      <c r="D16" s="142"/>
      <c r="E16" s="20">
        <v>2E-3</v>
      </c>
      <c r="F16" s="44"/>
      <c r="G16" s="21"/>
      <c r="H16" s="21"/>
      <c r="I16" s="20">
        <v>1</v>
      </c>
      <c r="J16" s="1"/>
      <c r="K16" s="1"/>
      <c r="L16" s="1"/>
      <c r="M16" s="1"/>
      <c r="N16" s="1"/>
      <c r="O16" s="1"/>
      <c r="P16" s="1"/>
      <c r="Q16" s="20"/>
      <c r="R16" s="47"/>
      <c r="S16" s="23"/>
      <c r="T16" s="24">
        <v>0.15</v>
      </c>
      <c r="U16" s="25" t="s">
        <v>11</v>
      </c>
      <c r="V16" s="46">
        <f t="shared" ref="V16" si="33">(E16+F16)/(1+T16)</f>
        <v>1.7391304347826088E-3</v>
      </c>
      <c r="W16" s="46"/>
      <c r="X16" s="25" t="s">
        <v>51</v>
      </c>
      <c r="Y16" s="144">
        <v>0.1</v>
      </c>
      <c r="Z16" s="25" t="s">
        <v>11</v>
      </c>
      <c r="AA16" s="1"/>
      <c r="AB16" s="25"/>
      <c r="AC16" s="1"/>
      <c r="AD16" s="1"/>
      <c r="AE16" s="46"/>
      <c r="AF16" s="25" t="s">
        <v>11</v>
      </c>
      <c r="AG16" s="27">
        <v>0.12</v>
      </c>
      <c r="AH16" s="25"/>
      <c r="AI16" s="29"/>
      <c r="AJ16" s="25"/>
      <c r="AK16" s="27"/>
      <c r="AL16" s="25"/>
      <c r="AM16" s="25"/>
      <c r="AN16" s="25"/>
      <c r="AO16" s="25"/>
      <c r="AP16" s="25"/>
      <c r="AQ16" s="25"/>
      <c r="AR16" s="25"/>
      <c r="AS16" s="25"/>
      <c r="AT16" s="25"/>
      <c r="AU16" s="26">
        <f>AU17/V17</f>
        <v>0.59308654773589464</v>
      </c>
      <c r="AV16" s="25" t="s">
        <v>11</v>
      </c>
      <c r="AW16" s="27"/>
      <c r="AX16" s="1"/>
      <c r="AY16" s="26"/>
      <c r="AZ16" s="25"/>
      <c r="BA16" s="20">
        <v>9.7999999999999997E-3</v>
      </c>
      <c r="BB16" s="25" t="s">
        <v>11</v>
      </c>
      <c r="BC16" s="20">
        <v>1.0200000000000001E-2</v>
      </c>
      <c r="BD16" s="25" t="s">
        <v>36</v>
      </c>
      <c r="BE16" s="22"/>
      <c r="BF16" s="25"/>
      <c r="BG16" s="1"/>
      <c r="BH16" s="1"/>
      <c r="BI16" s="141">
        <v>3.3350033350033344E-2</v>
      </c>
      <c r="BJ16" s="1"/>
      <c r="BK16" s="1"/>
      <c r="BL16" s="41"/>
      <c r="BM16" s="30">
        <f t="shared" ref="BM16:BM19" si="34">W16+AA16+AE16+AI16+AM16+AQ16+AU16+BA16+BC16+BI16</f>
        <v>0.64643658108592805</v>
      </c>
    </row>
    <row r="17" spans="2:66" ht="15.5" x14ac:dyDescent="0.35">
      <c r="B17" s="174"/>
      <c r="C17" s="42" t="s">
        <v>6</v>
      </c>
      <c r="D17" s="143">
        <v>100000.99</v>
      </c>
      <c r="E17" s="34">
        <f>D17*E16</f>
        <v>200.00198</v>
      </c>
      <c r="F17" s="32"/>
      <c r="G17" s="33"/>
      <c r="H17" s="33"/>
      <c r="I17" s="33">
        <f>E17*I16</f>
        <v>200.00198</v>
      </c>
      <c r="J17" s="33"/>
      <c r="K17" s="33"/>
      <c r="L17" s="33"/>
      <c r="M17" s="33"/>
      <c r="N17" s="33"/>
      <c r="O17" s="33"/>
      <c r="P17" s="33"/>
      <c r="Q17" s="33"/>
      <c r="R17" s="36"/>
      <c r="S17" s="34"/>
      <c r="T17" s="35">
        <f t="shared" ref="T17" si="35">(E17-E17/(1+T16))+(F17-F17/(1+T16))</f>
        <v>26.087214782608669</v>
      </c>
      <c r="U17" s="33"/>
      <c r="V17" s="36">
        <f t="shared" ref="V17" si="36">(E17+F17)/(1+T16)</f>
        <v>173.91476521739133</v>
      </c>
      <c r="W17" s="36">
        <v>44.444444444444443</v>
      </c>
      <c r="X17" s="37"/>
      <c r="Y17" s="36">
        <f>W17*Y16</f>
        <v>4.4444444444444446</v>
      </c>
      <c r="Z17" s="37"/>
      <c r="AA17" s="33"/>
      <c r="AB17" s="37"/>
      <c r="AC17" s="33"/>
      <c r="AD17" s="33"/>
      <c r="AE17" s="36">
        <v>17.045454545454547</v>
      </c>
      <c r="AF17" s="37"/>
      <c r="AG17" s="145">
        <f>AE17*AG16</f>
        <v>2.0454545454545454</v>
      </c>
      <c r="AH17" s="43"/>
      <c r="AI17" s="31"/>
      <c r="AJ17" s="37"/>
      <c r="AK17" s="31"/>
      <c r="AL17" s="33"/>
      <c r="AM17" s="33"/>
      <c r="AN17" s="33"/>
      <c r="AO17" s="33"/>
      <c r="AP17" s="33"/>
      <c r="AQ17" s="33"/>
      <c r="AR17" s="33"/>
      <c r="AS17" s="33"/>
      <c r="AT17" s="33"/>
      <c r="AU17" s="31">
        <f>E17-T17-W17-AE17-BA17-BC17-BI17</f>
        <v>103.14650770308128</v>
      </c>
      <c r="AV17" s="38"/>
      <c r="AW17" s="39"/>
      <c r="AX17" s="40"/>
      <c r="AY17" s="31"/>
      <c r="AZ17" s="37"/>
      <c r="BA17" s="31">
        <f t="shared" ref="BA17" si="37">BA16*V17</f>
        <v>1.7043646991304351</v>
      </c>
      <c r="BB17" s="37"/>
      <c r="BC17" s="31">
        <f t="shared" ref="BC17" si="38">(E17+F17)/(1+T16)*BC16</f>
        <v>1.7739306052173918</v>
      </c>
      <c r="BD17" s="37"/>
      <c r="BE17" s="33"/>
      <c r="BF17" s="37"/>
      <c r="BG17" s="33"/>
      <c r="BH17" s="33"/>
      <c r="BI17" s="31">
        <f t="shared" si="6"/>
        <v>5.8000632200632198</v>
      </c>
      <c r="BJ17" s="33"/>
      <c r="BK17" s="33"/>
      <c r="BL17" s="41"/>
      <c r="BM17" s="50">
        <f t="shared" si="34"/>
        <v>173.91476521739131</v>
      </c>
      <c r="BN17" s="50">
        <f>BM17-V17</f>
        <v>0</v>
      </c>
    </row>
    <row r="18" spans="2:66" ht="15.5" x14ac:dyDescent="0.35">
      <c r="B18" s="174"/>
      <c r="C18" s="28" t="s">
        <v>7</v>
      </c>
      <c r="D18" s="142"/>
      <c r="E18" s="20">
        <v>2E-3</v>
      </c>
      <c r="F18" s="45"/>
      <c r="G18" s="20"/>
      <c r="H18" s="21"/>
      <c r="I18" s="20">
        <v>1</v>
      </c>
      <c r="J18" s="1"/>
      <c r="K18" s="1"/>
      <c r="L18" s="1"/>
      <c r="M18" s="1"/>
      <c r="N18" s="1"/>
      <c r="O18" s="1"/>
      <c r="P18" s="1"/>
      <c r="Q18" s="20"/>
      <c r="R18" s="47"/>
      <c r="S18" s="49">
        <f>AY18</f>
        <v>1.132625</v>
      </c>
      <c r="T18" s="24">
        <v>0.15</v>
      </c>
      <c r="U18" s="25" t="s">
        <v>11</v>
      </c>
      <c r="V18" s="46">
        <f t="shared" ref="V18" si="39">(E18+F18)/(1+T18)</f>
        <v>1.7391304347826088E-3</v>
      </c>
      <c r="W18" s="46"/>
      <c r="X18" s="25" t="s">
        <v>51</v>
      </c>
      <c r="Y18" s="144">
        <v>0.1</v>
      </c>
      <c r="Z18" s="25" t="s">
        <v>11</v>
      </c>
      <c r="AA18" s="1"/>
      <c r="AB18" s="25"/>
      <c r="AC18" s="1"/>
      <c r="AD18" s="1"/>
      <c r="AE18" s="46"/>
      <c r="AF18" s="25" t="s">
        <v>11</v>
      </c>
      <c r="AG18" s="27">
        <v>0.12</v>
      </c>
      <c r="AH18" s="25"/>
      <c r="AI18" s="29"/>
      <c r="AJ18" s="25"/>
      <c r="AK18" s="27"/>
      <c r="AL18" s="25"/>
      <c r="AM18" s="25"/>
      <c r="AN18" s="25"/>
      <c r="AO18" s="25"/>
      <c r="AP18" s="25"/>
      <c r="AQ18" s="25"/>
      <c r="AR18" s="25"/>
      <c r="AS18" s="25"/>
      <c r="AT18" s="25"/>
      <c r="AU18" s="26">
        <f>AU19/V19</f>
        <v>0.56146151611086303</v>
      </c>
      <c r="AV18" s="25" t="s">
        <v>11</v>
      </c>
      <c r="AW18" s="27"/>
      <c r="AX18" s="1"/>
      <c r="AY18" s="48">
        <f>0.85*133.25%</f>
        <v>1.132625</v>
      </c>
      <c r="AZ18" s="25" t="s">
        <v>11</v>
      </c>
      <c r="BA18" s="20">
        <v>9.7999999999999997E-3</v>
      </c>
      <c r="BB18" s="25" t="s">
        <v>11</v>
      </c>
      <c r="BC18" s="20">
        <v>1.0200000000000001E-2</v>
      </c>
      <c r="BD18" s="25" t="s">
        <v>36</v>
      </c>
      <c r="BE18" s="22"/>
      <c r="BF18" s="25"/>
      <c r="BG18" s="1"/>
      <c r="BH18" s="1"/>
      <c r="BI18" s="141">
        <v>6.4975064975064958E-2</v>
      </c>
      <c r="BJ18" s="1"/>
      <c r="BK18" s="1"/>
      <c r="BL18" s="41"/>
      <c r="BM18" s="30">
        <f t="shared" si="34"/>
        <v>0.64643658108592805</v>
      </c>
    </row>
    <row r="19" spans="2:66" ht="15.5" x14ac:dyDescent="0.35">
      <c r="B19" s="175"/>
      <c r="C19" s="42" t="s">
        <v>7</v>
      </c>
      <c r="D19" s="143">
        <v>100000.99</v>
      </c>
      <c r="E19" s="34">
        <f>D19*E18</f>
        <v>200.00198</v>
      </c>
      <c r="F19" s="32"/>
      <c r="G19" s="33"/>
      <c r="H19" s="33"/>
      <c r="I19" s="33">
        <f>E19*I18</f>
        <v>200.00198</v>
      </c>
      <c r="J19" s="33"/>
      <c r="K19" s="33"/>
      <c r="L19" s="33"/>
      <c r="M19" s="33"/>
      <c r="N19" s="33"/>
      <c r="O19" s="33"/>
      <c r="P19" s="33"/>
      <c r="Q19" s="33"/>
      <c r="R19" s="36"/>
      <c r="S19" s="34"/>
      <c r="T19" s="35">
        <f t="shared" ref="T19" si="40">(E19-E19/(1+T18))+(F19-F19/(1+T18))</f>
        <v>26.087214782608669</v>
      </c>
      <c r="U19" s="33"/>
      <c r="V19" s="36">
        <f t="shared" ref="V19" si="41">(E19+F19)/(1+T18)</f>
        <v>173.91476521739133</v>
      </c>
      <c r="W19" s="36">
        <v>44.444444444444443</v>
      </c>
      <c r="X19" s="37"/>
      <c r="Y19" s="36">
        <f>W19*Y18</f>
        <v>4.4444444444444446</v>
      </c>
      <c r="Z19" s="37"/>
      <c r="AA19" s="33"/>
      <c r="AB19" s="37"/>
      <c r="AC19" s="33"/>
      <c r="AD19" s="33"/>
      <c r="AE19" s="36">
        <v>17.045454545454547</v>
      </c>
      <c r="AF19" s="37"/>
      <c r="AG19" s="145">
        <f>AE19*AG18</f>
        <v>2.0454545454545454</v>
      </c>
      <c r="AH19" s="38"/>
      <c r="AI19" s="31"/>
      <c r="AJ19" s="37"/>
      <c r="AK19" s="31"/>
      <c r="AL19" s="33"/>
      <c r="AM19" s="33"/>
      <c r="AN19" s="33"/>
      <c r="AO19" s="33"/>
      <c r="AP19" s="33"/>
      <c r="AQ19" s="33"/>
      <c r="AR19" s="33"/>
      <c r="AS19" s="33"/>
      <c r="AT19" s="33"/>
      <c r="AU19" s="31">
        <f>E19-T19-W19-AE19-BA19-BC19-BI19</f>
        <v>97.646447753021334</v>
      </c>
      <c r="AV19" s="38"/>
      <c r="AW19" s="39"/>
      <c r="AX19" s="40"/>
      <c r="AY19" s="31"/>
      <c r="AZ19" s="37"/>
      <c r="BA19" s="31">
        <f t="shared" ref="BA19" si="42">BA18*V19</f>
        <v>1.7043646991304351</v>
      </c>
      <c r="BB19" s="37"/>
      <c r="BC19" s="31">
        <f t="shared" ref="BC19" si="43">(E19+F19)/(1+T18)*BC18</f>
        <v>1.7739306052173918</v>
      </c>
      <c r="BD19" s="37"/>
      <c r="BE19" s="33"/>
      <c r="BF19" s="37"/>
      <c r="BG19" s="33"/>
      <c r="BH19" s="33"/>
      <c r="BI19" s="31">
        <f t="shared" si="6"/>
        <v>11.30012317012317</v>
      </c>
      <c r="BJ19" s="33"/>
      <c r="BK19" s="33"/>
      <c r="BL19" s="41"/>
      <c r="BM19" s="50">
        <f t="shared" si="34"/>
        <v>173.91476521739131</v>
      </c>
      <c r="BN19" s="50">
        <f>BM19-V19</f>
        <v>0</v>
      </c>
    </row>
    <row r="20" spans="2:66" ht="15.5" x14ac:dyDescent="0.35">
      <c r="B20" s="173" t="s">
        <v>87</v>
      </c>
      <c r="C20" s="28" t="s">
        <v>6</v>
      </c>
      <c r="D20" s="142"/>
      <c r="E20" s="20">
        <v>2E-3</v>
      </c>
      <c r="F20" s="44"/>
      <c r="G20" s="21"/>
      <c r="H20" s="21"/>
      <c r="I20" s="20">
        <v>1</v>
      </c>
      <c r="J20" s="1"/>
      <c r="K20" s="1"/>
      <c r="L20" s="1"/>
      <c r="M20" s="1"/>
      <c r="N20" s="1"/>
      <c r="O20" s="1"/>
      <c r="P20" s="1"/>
      <c r="Q20" s="20"/>
      <c r="R20" s="47"/>
      <c r="S20" s="23"/>
      <c r="T20" s="24">
        <v>0.15</v>
      </c>
      <c r="U20" s="25" t="s">
        <v>11</v>
      </c>
      <c r="V20" s="46">
        <f t="shared" ref="V20" si="44">(E20+F20)/(1+T20)</f>
        <v>1.7391304347826088E-3</v>
      </c>
      <c r="W20" s="46"/>
      <c r="X20" s="25" t="s">
        <v>51</v>
      </c>
      <c r="Y20" s="144">
        <v>0.1</v>
      </c>
      <c r="Z20" s="25" t="s">
        <v>11</v>
      </c>
      <c r="AA20" s="1"/>
      <c r="AB20" s="25"/>
      <c r="AC20" s="1"/>
      <c r="AD20" s="1"/>
      <c r="AE20" s="46"/>
      <c r="AF20" s="25" t="s">
        <v>11</v>
      </c>
      <c r="AG20" s="27">
        <v>0.12</v>
      </c>
      <c r="AH20" s="25"/>
      <c r="AI20" s="29"/>
      <c r="AJ20" s="25"/>
      <c r="AK20" s="27"/>
      <c r="AL20" s="25"/>
      <c r="AM20" s="25"/>
      <c r="AN20" s="25"/>
      <c r="AO20" s="25"/>
      <c r="AP20" s="25"/>
      <c r="AQ20" s="25"/>
      <c r="AR20" s="25"/>
      <c r="AS20" s="25"/>
      <c r="AT20" s="25"/>
      <c r="AU20" s="26">
        <f>AU21/V21</f>
        <v>0.59308479760563437</v>
      </c>
      <c r="AV20" s="25" t="s">
        <v>11</v>
      </c>
      <c r="AW20" s="27"/>
      <c r="AX20" s="1"/>
      <c r="AY20" s="26"/>
      <c r="AZ20" s="25"/>
      <c r="BA20" s="20">
        <v>9.7999999999999997E-3</v>
      </c>
      <c r="BB20" s="25" t="s">
        <v>11</v>
      </c>
      <c r="BC20" s="20">
        <v>1.0200000000000001E-2</v>
      </c>
      <c r="BD20" s="25" t="s">
        <v>36</v>
      </c>
      <c r="BE20" s="22"/>
      <c r="BF20" s="25"/>
      <c r="BG20" s="1"/>
      <c r="BH20" s="1"/>
      <c r="BI20" s="141">
        <v>3.3350033350033344E-2</v>
      </c>
      <c r="BJ20" s="1"/>
      <c r="BK20" s="1"/>
      <c r="BL20" s="41"/>
      <c r="BM20" s="30">
        <f t="shared" ref="BM20:BM23" si="45">W20+AA20+AE20+AI20+AM20+AQ20+AU20+BA20+BC20+BI20</f>
        <v>0.64643483095566778</v>
      </c>
    </row>
    <row r="21" spans="2:66" ht="15.5" x14ac:dyDescent="0.35">
      <c r="B21" s="174"/>
      <c r="C21" s="42" t="s">
        <v>6</v>
      </c>
      <c r="D21" s="143">
        <v>200000.99</v>
      </c>
      <c r="E21" s="34">
        <f>D21*E20</f>
        <v>400.00198</v>
      </c>
      <c r="F21" s="32"/>
      <c r="G21" s="33"/>
      <c r="H21" s="33"/>
      <c r="I21" s="33">
        <f>E21*I20</f>
        <v>400.00198</v>
      </c>
      <c r="J21" s="33"/>
      <c r="K21" s="33"/>
      <c r="L21" s="33"/>
      <c r="M21" s="33"/>
      <c r="N21" s="33"/>
      <c r="O21" s="33"/>
      <c r="P21" s="33"/>
      <c r="Q21" s="33"/>
      <c r="R21" s="36"/>
      <c r="S21" s="34"/>
      <c r="T21" s="35">
        <f t="shared" ref="T21" si="46">(E21-E21/(1+T20))+(F21-F21/(1+T20))</f>
        <v>52.174171304347794</v>
      </c>
      <c r="U21" s="33"/>
      <c r="V21" s="36">
        <f t="shared" ref="V21" si="47">(E21+F21)/(1+T20)</f>
        <v>347.82780869565221</v>
      </c>
      <c r="W21" s="36">
        <v>88.888888888888886</v>
      </c>
      <c r="X21" s="37"/>
      <c r="Y21" s="36">
        <f>W21*Y20</f>
        <v>8.8888888888888893</v>
      </c>
      <c r="Z21" s="37"/>
      <c r="AA21" s="33"/>
      <c r="AB21" s="37"/>
      <c r="AC21" s="33"/>
      <c r="AD21" s="33"/>
      <c r="AE21" s="36">
        <v>34.090909090909093</v>
      </c>
      <c r="AF21" s="37"/>
      <c r="AG21" s="145">
        <f>AE21*AG20</f>
        <v>4.0909090909090908</v>
      </c>
      <c r="AH21" s="43"/>
      <c r="AI21" s="31"/>
      <c r="AJ21" s="37"/>
      <c r="AK21" s="31"/>
      <c r="AL21" s="33"/>
      <c r="AM21" s="33"/>
      <c r="AN21" s="33"/>
      <c r="AO21" s="33"/>
      <c r="AP21" s="33"/>
      <c r="AQ21" s="33"/>
      <c r="AR21" s="33"/>
      <c r="AS21" s="33"/>
      <c r="AT21" s="33"/>
      <c r="AU21" s="31">
        <f>E21-T21-W21-AE21-BA21-BC21-BI21</f>
        <v>206.2913855218722</v>
      </c>
      <c r="AV21" s="38"/>
      <c r="AW21" s="39"/>
      <c r="AX21" s="40"/>
      <c r="AY21" s="31"/>
      <c r="AZ21" s="37"/>
      <c r="BA21" s="31">
        <f t="shared" ref="BA21" si="48">BA20*V21</f>
        <v>3.4087125252173913</v>
      </c>
      <c r="BB21" s="37"/>
      <c r="BC21" s="31">
        <f t="shared" ref="BC21" si="49">(E21+F21)/(1+T20)*BC20</f>
        <v>3.5478436486956526</v>
      </c>
      <c r="BD21" s="37"/>
      <c r="BE21" s="33"/>
      <c r="BF21" s="37"/>
      <c r="BG21" s="33"/>
      <c r="BH21" s="33"/>
      <c r="BI21" s="31">
        <f t="shared" si="6"/>
        <v>11.60006902006902</v>
      </c>
      <c r="BJ21" s="33"/>
      <c r="BK21" s="33"/>
      <c r="BL21" s="41"/>
      <c r="BM21" s="50">
        <f t="shared" si="45"/>
        <v>347.82780869565227</v>
      </c>
      <c r="BN21" s="50">
        <f>BM21-V21</f>
        <v>0</v>
      </c>
    </row>
    <row r="22" spans="2:66" ht="15.5" x14ac:dyDescent="0.35">
      <c r="B22" s="174"/>
      <c r="C22" s="28" t="s">
        <v>7</v>
      </c>
      <c r="D22" s="142"/>
      <c r="E22" s="20">
        <v>2E-3</v>
      </c>
      <c r="F22" s="45"/>
      <c r="G22" s="20"/>
      <c r="H22" s="21"/>
      <c r="I22" s="20">
        <v>1</v>
      </c>
      <c r="J22" s="1"/>
      <c r="K22" s="1"/>
      <c r="L22" s="1"/>
      <c r="M22" s="1"/>
      <c r="N22" s="1"/>
      <c r="O22" s="1"/>
      <c r="P22" s="1"/>
      <c r="Q22" s="20"/>
      <c r="R22" s="47"/>
      <c r="S22" s="49">
        <f>AY22</f>
        <v>1.132625</v>
      </c>
      <c r="T22" s="24">
        <v>0.15</v>
      </c>
      <c r="U22" s="25" t="s">
        <v>11</v>
      </c>
      <c r="V22" s="46">
        <f t="shared" ref="V22" si="50">(E22+F22)/(1+T22)</f>
        <v>1.7391304347826088E-3</v>
      </c>
      <c r="W22" s="46"/>
      <c r="X22" s="25" t="s">
        <v>51</v>
      </c>
      <c r="Y22" s="144">
        <v>0.1</v>
      </c>
      <c r="Z22" s="25" t="s">
        <v>11</v>
      </c>
      <c r="AA22" s="1"/>
      <c r="AB22" s="25"/>
      <c r="AC22" s="1"/>
      <c r="AD22" s="1"/>
      <c r="AE22" s="46"/>
      <c r="AF22" s="25" t="s">
        <v>11</v>
      </c>
      <c r="AG22" s="27">
        <v>0.12</v>
      </c>
      <c r="AH22" s="25"/>
      <c r="AI22" s="29"/>
      <c r="AJ22" s="25"/>
      <c r="AK22" s="27"/>
      <c r="AL22" s="25"/>
      <c r="AM22" s="25"/>
      <c r="AN22" s="25"/>
      <c r="AO22" s="25"/>
      <c r="AP22" s="25"/>
      <c r="AQ22" s="25"/>
      <c r="AR22" s="25"/>
      <c r="AS22" s="25"/>
      <c r="AT22" s="25"/>
      <c r="AU22" s="26">
        <f>AU23/V23</f>
        <v>0.56145976598060277</v>
      </c>
      <c r="AV22" s="25" t="s">
        <v>11</v>
      </c>
      <c r="AW22" s="27"/>
      <c r="AX22" s="1"/>
      <c r="AY22" s="48">
        <f>0.85*133.25%</f>
        <v>1.132625</v>
      </c>
      <c r="AZ22" s="25" t="s">
        <v>11</v>
      </c>
      <c r="BA22" s="20">
        <v>9.7999999999999997E-3</v>
      </c>
      <c r="BB22" s="25" t="s">
        <v>11</v>
      </c>
      <c r="BC22" s="20">
        <v>1.0200000000000001E-2</v>
      </c>
      <c r="BD22" s="25" t="s">
        <v>36</v>
      </c>
      <c r="BE22" s="22"/>
      <c r="BF22" s="25"/>
      <c r="BG22" s="1"/>
      <c r="BH22" s="1"/>
      <c r="BI22" s="141">
        <v>6.4975064975064958E-2</v>
      </c>
      <c r="BJ22" s="1"/>
      <c r="BK22" s="1"/>
      <c r="BL22" s="41"/>
      <c r="BM22" s="30">
        <f t="shared" si="45"/>
        <v>0.64643483095566778</v>
      </c>
    </row>
    <row r="23" spans="2:66" ht="15.5" x14ac:dyDescent="0.35">
      <c r="B23" s="175"/>
      <c r="C23" s="42" t="s">
        <v>7</v>
      </c>
      <c r="D23" s="143">
        <v>200000.99</v>
      </c>
      <c r="E23" s="34">
        <f>D23*E22</f>
        <v>400.00198</v>
      </c>
      <c r="F23" s="32"/>
      <c r="G23" s="33"/>
      <c r="H23" s="33"/>
      <c r="I23" s="33">
        <f>E23*I22</f>
        <v>400.00198</v>
      </c>
      <c r="J23" s="33"/>
      <c r="K23" s="33"/>
      <c r="L23" s="33"/>
      <c r="M23" s="33"/>
      <c r="N23" s="33"/>
      <c r="O23" s="33"/>
      <c r="P23" s="33"/>
      <c r="Q23" s="33"/>
      <c r="R23" s="36"/>
      <c r="S23" s="34"/>
      <c r="T23" s="35">
        <f t="shared" ref="T23" si="51">(E23-E23/(1+T22))+(F23-F23/(1+T22))</f>
        <v>52.174171304347794</v>
      </c>
      <c r="U23" s="33"/>
      <c r="V23" s="36">
        <f t="shared" ref="V23" si="52">(E23+F23)/(1+T22)</f>
        <v>347.82780869565221</v>
      </c>
      <c r="W23" s="36">
        <v>88.888888888888886</v>
      </c>
      <c r="X23" s="37"/>
      <c r="Y23" s="36">
        <f>W23*Y22</f>
        <v>8.8888888888888893</v>
      </c>
      <c r="Z23" s="37"/>
      <c r="AA23" s="33"/>
      <c r="AB23" s="37"/>
      <c r="AC23" s="33"/>
      <c r="AD23" s="33"/>
      <c r="AE23" s="36">
        <v>34.090909090909093</v>
      </c>
      <c r="AF23" s="37"/>
      <c r="AG23" s="145">
        <f>AE23*AG22</f>
        <v>4.0909090909090908</v>
      </c>
      <c r="AH23" s="38"/>
      <c r="AI23" s="31"/>
      <c r="AJ23" s="37"/>
      <c r="AK23" s="31"/>
      <c r="AL23" s="33"/>
      <c r="AM23" s="33"/>
      <c r="AN23" s="33"/>
      <c r="AO23" s="33"/>
      <c r="AP23" s="33"/>
      <c r="AQ23" s="33"/>
      <c r="AR23" s="33"/>
      <c r="AS23" s="33"/>
      <c r="AT23" s="33"/>
      <c r="AU23" s="31">
        <f>E23-T23-W23-AE23-BA23-BC23-BI23</f>
        <v>195.29132007180675</v>
      </c>
      <c r="AV23" s="38"/>
      <c r="AW23" s="39"/>
      <c r="AX23" s="40"/>
      <c r="AY23" s="31"/>
      <c r="AZ23" s="37"/>
      <c r="BA23" s="31">
        <f t="shared" ref="BA23" si="53">BA22*V23</f>
        <v>3.4087125252173913</v>
      </c>
      <c r="BB23" s="37"/>
      <c r="BC23" s="31">
        <f t="shared" ref="BC23" si="54">(E23+F23)/(1+T22)*BC22</f>
        <v>3.5478436486956526</v>
      </c>
      <c r="BD23" s="37"/>
      <c r="BE23" s="33"/>
      <c r="BF23" s="37"/>
      <c r="BG23" s="33"/>
      <c r="BH23" s="33"/>
      <c r="BI23" s="31">
        <f t="shared" si="6"/>
        <v>22.600134470134467</v>
      </c>
      <c r="BJ23" s="33"/>
      <c r="BK23" s="33"/>
      <c r="BL23" s="41"/>
      <c r="BM23" s="50">
        <f t="shared" si="45"/>
        <v>347.82780869565227</v>
      </c>
      <c r="BN23" s="50">
        <f>BM23-V23</f>
        <v>0</v>
      </c>
    </row>
    <row r="24" spans="2:66" ht="15.5" x14ac:dyDescent="0.35">
      <c r="B24" s="173" t="s">
        <v>88</v>
      </c>
      <c r="C24" s="28" t="s">
        <v>6</v>
      </c>
      <c r="D24" s="142"/>
      <c r="E24" s="20">
        <v>2E-3</v>
      </c>
      <c r="F24" s="44"/>
      <c r="G24" s="21"/>
      <c r="H24" s="21"/>
      <c r="I24" s="20">
        <v>1</v>
      </c>
      <c r="J24" s="1"/>
      <c r="K24" s="1"/>
      <c r="L24" s="1"/>
      <c r="M24" s="1"/>
      <c r="N24" s="1"/>
      <c r="O24" s="1"/>
      <c r="P24" s="1"/>
      <c r="Q24" s="20"/>
      <c r="R24" s="47"/>
      <c r="S24" s="23"/>
      <c r="T24" s="24">
        <v>0.15</v>
      </c>
      <c r="U24" s="25" t="s">
        <v>11</v>
      </c>
      <c r="V24" s="46">
        <f t="shared" ref="V24" si="55">(E24+F24)/(1+T24)</f>
        <v>1.7391304347826088E-3</v>
      </c>
      <c r="W24" s="46"/>
      <c r="X24" s="25" t="s">
        <v>51</v>
      </c>
      <c r="Y24" s="144">
        <v>0.1</v>
      </c>
      <c r="Z24" s="25" t="s">
        <v>11</v>
      </c>
      <c r="AA24" s="1"/>
      <c r="AB24" s="25"/>
      <c r="AC24" s="1"/>
      <c r="AD24" s="1"/>
      <c r="AE24" s="46"/>
      <c r="AF24" s="25" t="s">
        <v>11</v>
      </c>
      <c r="AG24" s="27">
        <v>0.12</v>
      </c>
      <c r="AH24" s="25"/>
      <c r="AI24" s="29"/>
      <c r="AJ24" s="25"/>
      <c r="AK24" s="27"/>
      <c r="AL24" s="25"/>
      <c r="AM24" s="25"/>
      <c r="AN24" s="25"/>
      <c r="AO24" s="25"/>
      <c r="AP24" s="25"/>
      <c r="AQ24" s="25"/>
      <c r="AR24" s="25"/>
      <c r="AS24" s="25"/>
      <c r="AT24" s="25"/>
      <c r="AU24" s="26">
        <f>AU25/V25</f>
        <v>0.47522896341671855</v>
      </c>
      <c r="AV24" s="25" t="s">
        <v>11</v>
      </c>
      <c r="AW24" s="27"/>
      <c r="AX24" s="1"/>
      <c r="AY24" s="26"/>
      <c r="AZ24" s="25"/>
      <c r="BA24" s="20">
        <v>9.7999999999999997E-3</v>
      </c>
      <c r="BB24" s="25" t="s">
        <v>11</v>
      </c>
      <c r="BC24" s="20">
        <v>1.0200000000000001E-2</v>
      </c>
      <c r="BD24" s="25" t="s">
        <v>36</v>
      </c>
      <c r="BE24" s="22"/>
      <c r="BF24" s="25"/>
      <c r="BG24" s="1"/>
      <c r="BH24" s="1"/>
      <c r="BI24" s="141">
        <v>3.3350033350033344E-2</v>
      </c>
      <c r="BJ24" s="1"/>
      <c r="BK24" s="1"/>
      <c r="BL24" s="41"/>
      <c r="BM24" s="30">
        <f t="shared" ref="BM24:BM27" si="56">W24+AA24+AE24+AI24+AM24+AQ24+AU24+BA24+BC24+BI24</f>
        <v>0.52857899676675191</v>
      </c>
    </row>
    <row r="25" spans="2:66" ht="15.5" x14ac:dyDescent="0.35">
      <c r="B25" s="174"/>
      <c r="C25" s="42" t="s">
        <v>6</v>
      </c>
      <c r="D25" s="143">
        <v>300000.99</v>
      </c>
      <c r="E25" s="34">
        <f>D25*E24</f>
        <v>600.00198</v>
      </c>
      <c r="F25" s="32"/>
      <c r="G25" s="33"/>
      <c r="H25" s="33"/>
      <c r="I25" s="33">
        <f>E25*I24</f>
        <v>600.00198</v>
      </c>
      <c r="J25" s="33"/>
      <c r="K25" s="33"/>
      <c r="L25" s="33"/>
      <c r="M25" s="33"/>
      <c r="N25" s="33"/>
      <c r="O25" s="33"/>
      <c r="P25" s="33"/>
      <c r="Q25" s="33"/>
      <c r="R25" s="36"/>
      <c r="S25" s="34"/>
      <c r="T25" s="35">
        <f t="shared" ref="T25" si="57">(E25-E25/(1+T24))+(F25-F25/(1+T24))</f>
        <v>78.261127826086863</v>
      </c>
      <c r="U25" s="33"/>
      <c r="V25" s="36">
        <f t="shared" ref="V25" si="58">(E25+F25)/(1+T24)</f>
        <v>521.74085217391314</v>
      </c>
      <c r="W25" s="36">
        <v>177.77777777777777</v>
      </c>
      <c r="X25" s="37"/>
      <c r="Y25" s="36">
        <f>W25*Y24</f>
        <v>17.777777777777779</v>
      </c>
      <c r="Z25" s="37"/>
      <c r="AA25" s="33"/>
      <c r="AB25" s="37"/>
      <c r="AC25" s="33"/>
      <c r="AD25" s="33"/>
      <c r="AE25" s="36">
        <v>68.181818181818187</v>
      </c>
      <c r="AF25" s="37"/>
      <c r="AG25" s="145">
        <f>AE25*AG24</f>
        <v>8.1818181818181817</v>
      </c>
      <c r="AH25" s="43"/>
      <c r="AI25" s="31"/>
      <c r="AJ25" s="37"/>
      <c r="AK25" s="31"/>
      <c r="AL25" s="33"/>
      <c r="AM25" s="33"/>
      <c r="AN25" s="33"/>
      <c r="AO25" s="33"/>
      <c r="AP25" s="33"/>
      <c r="AQ25" s="33"/>
      <c r="AR25" s="33"/>
      <c r="AS25" s="33"/>
      <c r="AT25" s="33"/>
      <c r="AU25" s="31">
        <f>E25-T25-W25-AE25-BA25-BC25-BI25</f>
        <v>247.94636435076413</v>
      </c>
      <c r="AV25" s="38"/>
      <c r="AW25" s="39"/>
      <c r="AX25" s="40"/>
      <c r="AY25" s="31"/>
      <c r="AZ25" s="37"/>
      <c r="BA25" s="31">
        <f t="shared" ref="BA25" si="59">BA24*V25</f>
        <v>5.1130603513043482</v>
      </c>
      <c r="BB25" s="37"/>
      <c r="BC25" s="31">
        <f t="shared" ref="BC25" si="60">(E25+F25)/(1+T24)*BC24</f>
        <v>5.3217566921739143</v>
      </c>
      <c r="BD25" s="37"/>
      <c r="BE25" s="33"/>
      <c r="BF25" s="37"/>
      <c r="BG25" s="33"/>
      <c r="BH25" s="33"/>
      <c r="BI25" s="31">
        <f t="shared" si="6"/>
        <v>17.400074820074821</v>
      </c>
      <c r="BJ25" s="33"/>
      <c r="BK25" s="33"/>
      <c r="BL25" s="41"/>
      <c r="BM25" s="50">
        <f t="shared" si="56"/>
        <v>521.74085217391314</v>
      </c>
      <c r="BN25" s="50">
        <f>BM25-V25</f>
        <v>0</v>
      </c>
    </row>
    <row r="26" spans="2:66" ht="15.5" x14ac:dyDescent="0.35">
      <c r="B26" s="174"/>
      <c r="C26" s="28" t="s">
        <v>7</v>
      </c>
      <c r="D26" s="142"/>
      <c r="E26" s="20">
        <v>2E-3</v>
      </c>
      <c r="F26" s="45"/>
      <c r="G26" s="20"/>
      <c r="H26" s="21"/>
      <c r="I26" s="20">
        <v>1</v>
      </c>
      <c r="J26" s="1"/>
      <c r="K26" s="1"/>
      <c r="L26" s="1"/>
      <c r="M26" s="1"/>
      <c r="N26" s="1"/>
      <c r="O26" s="1"/>
      <c r="P26" s="1"/>
      <c r="Q26" s="20"/>
      <c r="R26" s="47"/>
      <c r="S26" s="49">
        <f>AY26</f>
        <v>1.132625</v>
      </c>
      <c r="T26" s="24">
        <v>0.15</v>
      </c>
      <c r="U26" s="25" t="s">
        <v>11</v>
      </c>
      <c r="V26" s="46">
        <f t="shared" ref="V26" si="61">(E26+F26)/(1+T26)</f>
        <v>1.7391304347826088E-3</v>
      </c>
      <c r="W26" s="46"/>
      <c r="X26" s="25" t="s">
        <v>51</v>
      </c>
      <c r="Y26" s="144">
        <v>0.1</v>
      </c>
      <c r="Z26" s="25" t="s">
        <v>11</v>
      </c>
      <c r="AA26" s="1"/>
      <c r="AB26" s="25"/>
      <c r="AC26" s="1"/>
      <c r="AD26" s="1"/>
      <c r="AE26" s="46"/>
      <c r="AF26" s="25" t="s">
        <v>11</v>
      </c>
      <c r="AG26" s="27">
        <v>0.12</v>
      </c>
      <c r="AH26" s="25"/>
      <c r="AI26" s="29"/>
      <c r="AJ26" s="25"/>
      <c r="AK26" s="27"/>
      <c r="AL26" s="25"/>
      <c r="AM26" s="25"/>
      <c r="AN26" s="25"/>
      <c r="AO26" s="25"/>
      <c r="AP26" s="25"/>
      <c r="AQ26" s="25"/>
      <c r="AR26" s="25"/>
      <c r="AS26" s="25"/>
      <c r="AT26" s="25"/>
      <c r="AU26" s="26">
        <f>AU27/V27</f>
        <v>0.44360393179168695</v>
      </c>
      <c r="AV26" s="25" t="s">
        <v>11</v>
      </c>
      <c r="AW26" s="27"/>
      <c r="AX26" s="1"/>
      <c r="AY26" s="48">
        <f>0.85*133.25%</f>
        <v>1.132625</v>
      </c>
      <c r="AZ26" s="25" t="s">
        <v>11</v>
      </c>
      <c r="BA26" s="20">
        <v>9.7999999999999997E-3</v>
      </c>
      <c r="BB26" s="25" t="s">
        <v>11</v>
      </c>
      <c r="BC26" s="20">
        <v>1.0200000000000001E-2</v>
      </c>
      <c r="BD26" s="25" t="s">
        <v>36</v>
      </c>
      <c r="BE26" s="22"/>
      <c r="BF26" s="25"/>
      <c r="BG26" s="1"/>
      <c r="BH26" s="1"/>
      <c r="BI26" s="141">
        <v>6.4975064975064958E-2</v>
      </c>
      <c r="BJ26" s="1"/>
      <c r="BK26" s="1"/>
      <c r="BL26" s="41"/>
      <c r="BM26" s="30">
        <f t="shared" si="56"/>
        <v>0.52857899676675191</v>
      </c>
    </row>
    <row r="27" spans="2:66" ht="15.5" x14ac:dyDescent="0.35">
      <c r="B27" s="175"/>
      <c r="C27" s="42" t="s">
        <v>7</v>
      </c>
      <c r="D27" s="143">
        <v>300000.99</v>
      </c>
      <c r="E27" s="34">
        <f>D27*E26</f>
        <v>600.00198</v>
      </c>
      <c r="F27" s="32"/>
      <c r="G27" s="33"/>
      <c r="H27" s="33"/>
      <c r="I27" s="33">
        <f>E27*I26</f>
        <v>600.00198</v>
      </c>
      <c r="J27" s="33"/>
      <c r="K27" s="33"/>
      <c r="L27" s="33"/>
      <c r="M27" s="33"/>
      <c r="N27" s="33"/>
      <c r="O27" s="33"/>
      <c r="P27" s="33"/>
      <c r="Q27" s="33"/>
      <c r="R27" s="36"/>
      <c r="S27" s="34"/>
      <c r="T27" s="35">
        <f t="shared" ref="T27" si="62">(E27-E27/(1+T26))+(F27-F27/(1+T26))</f>
        <v>78.261127826086863</v>
      </c>
      <c r="U27" s="33"/>
      <c r="V27" s="36">
        <f t="shared" ref="V27" si="63">(E27+F27)/(1+T26)</f>
        <v>521.74085217391314</v>
      </c>
      <c r="W27" s="36">
        <v>177.77777777777777</v>
      </c>
      <c r="X27" s="37"/>
      <c r="Y27" s="36">
        <f>W27*Y26</f>
        <v>17.777777777777779</v>
      </c>
      <c r="Z27" s="37"/>
      <c r="AA27" s="33"/>
      <c r="AB27" s="37"/>
      <c r="AC27" s="33"/>
      <c r="AD27" s="33"/>
      <c r="AE27" s="36">
        <v>68.181818181818187</v>
      </c>
      <c r="AF27" s="37"/>
      <c r="AG27" s="145">
        <f>AE27*AG26</f>
        <v>8.1818181818181817</v>
      </c>
      <c r="AH27" s="38"/>
      <c r="AI27" s="31"/>
      <c r="AJ27" s="37"/>
      <c r="AK27" s="31"/>
      <c r="AL27" s="33"/>
      <c r="AM27" s="33"/>
      <c r="AN27" s="33"/>
      <c r="AO27" s="33"/>
      <c r="AP27" s="33"/>
      <c r="AQ27" s="33"/>
      <c r="AR27" s="33"/>
      <c r="AS27" s="33"/>
      <c r="AT27" s="33"/>
      <c r="AU27" s="31">
        <f>E27-T27-W27-AE27-BA27-BC27-BI27</f>
        <v>231.44629340069318</v>
      </c>
      <c r="AV27" s="38"/>
      <c r="AW27" s="39"/>
      <c r="AX27" s="40"/>
      <c r="AY27" s="31"/>
      <c r="AZ27" s="37"/>
      <c r="BA27" s="31">
        <f t="shared" ref="BA27" si="64">BA26*V27</f>
        <v>5.1130603513043482</v>
      </c>
      <c r="BB27" s="37"/>
      <c r="BC27" s="31">
        <f t="shared" ref="BC27" si="65">(E27+F27)/(1+T26)*BC26</f>
        <v>5.3217566921739143</v>
      </c>
      <c r="BD27" s="37"/>
      <c r="BE27" s="33"/>
      <c r="BF27" s="37"/>
      <c r="BG27" s="33"/>
      <c r="BH27" s="33"/>
      <c r="BI27" s="31">
        <f t="shared" si="6"/>
        <v>33.90014577014577</v>
      </c>
      <c r="BJ27" s="33"/>
      <c r="BK27" s="33"/>
      <c r="BL27" s="41"/>
      <c r="BM27" s="50">
        <f t="shared" si="56"/>
        <v>521.74085217391314</v>
      </c>
      <c r="BN27" s="50">
        <f>BM27-V27</f>
        <v>0</v>
      </c>
    </row>
    <row r="28" spans="2:66" ht="15.5" x14ac:dyDescent="0.35">
      <c r="B28" s="173" t="s">
        <v>89</v>
      </c>
      <c r="C28" s="28" t="s">
        <v>6</v>
      </c>
      <c r="D28" s="142"/>
      <c r="E28" s="20">
        <v>2E-3</v>
      </c>
      <c r="F28" s="44"/>
      <c r="G28" s="21"/>
      <c r="H28" s="21"/>
      <c r="I28" s="20">
        <v>1</v>
      </c>
      <c r="J28" s="1"/>
      <c r="K28" s="1"/>
      <c r="L28" s="1"/>
      <c r="M28" s="1"/>
      <c r="N28" s="1"/>
      <c r="O28" s="1"/>
      <c r="P28" s="1"/>
      <c r="Q28" s="20"/>
      <c r="R28" s="47"/>
      <c r="S28" s="23"/>
      <c r="T28" s="24">
        <v>0.15</v>
      </c>
      <c r="U28" s="25" t="s">
        <v>11</v>
      </c>
      <c r="V28" s="46">
        <f t="shared" ref="V28" si="66">(E28+F28)/(1+T28)</f>
        <v>1.7391304347826088E-3</v>
      </c>
      <c r="W28" s="46"/>
      <c r="X28" s="25" t="s">
        <v>51</v>
      </c>
      <c r="Y28" s="144">
        <v>0.1</v>
      </c>
      <c r="Z28" s="25" t="s">
        <v>11</v>
      </c>
      <c r="AA28" s="1"/>
      <c r="AB28" s="25"/>
      <c r="AC28" s="1"/>
      <c r="AD28" s="1"/>
      <c r="AE28" s="46"/>
      <c r="AF28" s="25" t="s">
        <v>11</v>
      </c>
      <c r="AG28" s="27">
        <v>0.12</v>
      </c>
      <c r="AH28" s="25"/>
      <c r="AI28" s="29"/>
      <c r="AJ28" s="25"/>
      <c r="AK28" s="27"/>
      <c r="AL28" s="25"/>
      <c r="AM28" s="25"/>
      <c r="AN28" s="25"/>
      <c r="AO28" s="25"/>
      <c r="AP28" s="25"/>
      <c r="AQ28" s="25"/>
      <c r="AR28" s="25"/>
      <c r="AS28" s="25"/>
      <c r="AT28" s="25"/>
      <c r="AU28" s="26">
        <f>AU29/V29</f>
        <v>0.41630090047602675</v>
      </c>
      <c r="AV28" s="25" t="s">
        <v>11</v>
      </c>
      <c r="AW28" s="27"/>
      <c r="AX28" s="1"/>
      <c r="AY28" s="26"/>
      <c r="AZ28" s="25"/>
      <c r="BA28" s="20">
        <v>9.7999999999999997E-3</v>
      </c>
      <c r="BB28" s="25" t="s">
        <v>11</v>
      </c>
      <c r="BC28" s="20">
        <v>1.0200000000000001E-2</v>
      </c>
      <c r="BD28" s="25" t="s">
        <v>36</v>
      </c>
      <c r="BE28" s="22"/>
      <c r="BF28" s="25"/>
      <c r="BG28" s="1"/>
      <c r="BH28" s="1"/>
      <c r="BI28" s="141">
        <v>3.3350033350033344E-2</v>
      </c>
      <c r="BJ28" s="1"/>
      <c r="BK28" s="1"/>
      <c r="BL28" s="41"/>
      <c r="BM28" s="30">
        <f t="shared" ref="BM28:BM31" si="67">W28+AA28+AE28+AI28+AM28+AQ28+AU28+BA28+BC28+BI28</f>
        <v>0.46965093382606005</v>
      </c>
    </row>
    <row r="29" spans="2:66" ht="15.5" x14ac:dyDescent="0.35">
      <c r="B29" s="174"/>
      <c r="C29" s="42" t="s">
        <v>6</v>
      </c>
      <c r="D29" s="143">
        <v>400000.99</v>
      </c>
      <c r="E29" s="34">
        <f>D29*E28</f>
        <v>800.00198</v>
      </c>
      <c r="F29" s="32"/>
      <c r="G29" s="33"/>
      <c r="H29" s="33"/>
      <c r="I29" s="33">
        <f>E29*I28</f>
        <v>800.00198</v>
      </c>
      <c r="J29" s="33"/>
      <c r="K29" s="33"/>
      <c r="L29" s="33"/>
      <c r="M29" s="33"/>
      <c r="N29" s="33"/>
      <c r="O29" s="33"/>
      <c r="P29" s="33"/>
      <c r="Q29" s="33"/>
      <c r="R29" s="36"/>
      <c r="S29" s="34"/>
      <c r="T29" s="35">
        <f t="shared" ref="T29" si="68">(E29-E29/(1+T28))+(F29-F29/(1+T28))</f>
        <v>104.34808434782599</v>
      </c>
      <c r="U29" s="33"/>
      <c r="V29" s="36">
        <f t="shared" ref="V29" si="69">(E29+F29)/(1+T28)</f>
        <v>695.65389565217401</v>
      </c>
      <c r="W29" s="36">
        <v>266.66666666666669</v>
      </c>
      <c r="X29" s="37"/>
      <c r="Y29" s="36">
        <f>W29*Y28</f>
        <v>26.666666666666671</v>
      </c>
      <c r="Z29" s="37"/>
      <c r="AA29" s="33"/>
      <c r="AB29" s="37"/>
      <c r="AC29" s="33"/>
      <c r="AD29" s="33"/>
      <c r="AE29" s="36">
        <v>102.27272727272727</v>
      </c>
      <c r="AF29" s="37"/>
      <c r="AG29" s="145">
        <f>AE29*AG28</f>
        <v>12.272727272727272</v>
      </c>
      <c r="AH29" s="43"/>
      <c r="AI29" s="31"/>
      <c r="AJ29" s="37"/>
      <c r="AK29" s="31"/>
      <c r="AL29" s="33"/>
      <c r="AM29" s="33"/>
      <c r="AN29" s="33"/>
      <c r="AO29" s="33"/>
      <c r="AP29" s="33"/>
      <c r="AQ29" s="33"/>
      <c r="AR29" s="33"/>
      <c r="AS29" s="33"/>
      <c r="AT29" s="33"/>
      <c r="AU29" s="31">
        <f>E29-T29-W29-AE29-BA29-BC29-BI29</f>
        <v>289.601343179656</v>
      </c>
      <c r="AV29" s="38"/>
      <c r="AW29" s="39"/>
      <c r="AX29" s="40"/>
      <c r="AY29" s="31"/>
      <c r="AZ29" s="37"/>
      <c r="BA29" s="31">
        <f t="shared" ref="BA29" si="70">BA28*V29</f>
        <v>6.8174081773913056</v>
      </c>
      <c r="BB29" s="37"/>
      <c r="BC29" s="31">
        <f t="shared" ref="BC29" si="71">(E29+F29)/(1+T28)*BC28</f>
        <v>7.0956697356521756</v>
      </c>
      <c r="BD29" s="37"/>
      <c r="BE29" s="33"/>
      <c r="BF29" s="37"/>
      <c r="BG29" s="33"/>
      <c r="BH29" s="33"/>
      <c r="BI29" s="31">
        <f t="shared" si="6"/>
        <v>23.20008062008062</v>
      </c>
      <c r="BJ29" s="33"/>
      <c r="BK29" s="33"/>
      <c r="BL29" s="41"/>
      <c r="BM29" s="50">
        <f t="shared" si="67"/>
        <v>695.65389565217401</v>
      </c>
      <c r="BN29" s="50">
        <f>BM29-V29</f>
        <v>0</v>
      </c>
    </row>
    <row r="30" spans="2:66" ht="15.5" x14ac:dyDescent="0.35">
      <c r="B30" s="174"/>
      <c r="C30" s="28" t="s">
        <v>7</v>
      </c>
      <c r="D30" s="142"/>
      <c r="E30" s="20">
        <v>2E-3</v>
      </c>
      <c r="F30" s="45"/>
      <c r="G30" s="20"/>
      <c r="H30" s="21"/>
      <c r="I30" s="20">
        <v>1</v>
      </c>
      <c r="J30" s="1"/>
      <c r="K30" s="1"/>
      <c r="L30" s="1"/>
      <c r="M30" s="1"/>
      <c r="N30" s="1"/>
      <c r="O30" s="1"/>
      <c r="P30" s="1"/>
      <c r="Q30" s="20"/>
      <c r="R30" s="47"/>
      <c r="S30" s="49">
        <f>AY30</f>
        <v>1.132625</v>
      </c>
      <c r="T30" s="24">
        <v>0.15</v>
      </c>
      <c r="U30" s="25" t="s">
        <v>11</v>
      </c>
      <c r="V30" s="46">
        <f t="shared" ref="V30" si="72">(E30+F30)/(1+T30)</f>
        <v>1.7391304347826088E-3</v>
      </c>
      <c r="W30" s="46"/>
      <c r="X30" s="25" t="s">
        <v>51</v>
      </c>
      <c r="Y30" s="144">
        <v>0.1</v>
      </c>
      <c r="Z30" s="25" t="s">
        <v>11</v>
      </c>
      <c r="AA30" s="1"/>
      <c r="AB30" s="25"/>
      <c r="AC30" s="1"/>
      <c r="AD30" s="1"/>
      <c r="AE30" s="46"/>
      <c r="AF30" s="25" t="s">
        <v>11</v>
      </c>
      <c r="AG30" s="27">
        <v>0.12</v>
      </c>
      <c r="AH30" s="25"/>
      <c r="AI30" s="29"/>
      <c r="AJ30" s="25"/>
      <c r="AK30" s="27"/>
      <c r="AL30" s="25"/>
      <c r="AM30" s="25"/>
      <c r="AN30" s="25"/>
      <c r="AO30" s="25"/>
      <c r="AP30" s="25"/>
      <c r="AQ30" s="25"/>
      <c r="AR30" s="25"/>
      <c r="AS30" s="25"/>
      <c r="AT30" s="25"/>
      <c r="AU30" s="26">
        <f>AU31/V31</f>
        <v>0.38467586885099514</v>
      </c>
      <c r="AV30" s="25" t="s">
        <v>11</v>
      </c>
      <c r="AW30" s="27"/>
      <c r="AX30" s="1"/>
      <c r="AY30" s="48">
        <f>0.85*133.25%</f>
        <v>1.132625</v>
      </c>
      <c r="AZ30" s="25" t="s">
        <v>11</v>
      </c>
      <c r="BA30" s="20">
        <v>9.7999999999999997E-3</v>
      </c>
      <c r="BB30" s="25" t="s">
        <v>11</v>
      </c>
      <c r="BC30" s="20">
        <v>1.0200000000000001E-2</v>
      </c>
      <c r="BD30" s="25" t="s">
        <v>36</v>
      </c>
      <c r="BE30" s="22"/>
      <c r="BF30" s="25"/>
      <c r="BG30" s="1"/>
      <c r="BH30" s="1"/>
      <c r="BI30" s="141">
        <v>6.4975064975064958E-2</v>
      </c>
      <c r="BJ30" s="1"/>
      <c r="BK30" s="1"/>
      <c r="BL30" s="41"/>
      <c r="BM30" s="30">
        <f t="shared" si="67"/>
        <v>0.46965093382606005</v>
      </c>
    </row>
    <row r="31" spans="2:66" ht="15.5" x14ac:dyDescent="0.35">
      <c r="B31" s="175"/>
      <c r="C31" s="42" t="s">
        <v>7</v>
      </c>
      <c r="D31" s="143">
        <v>400000.99</v>
      </c>
      <c r="E31" s="34">
        <f>D31*E30</f>
        <v>800.00198</v>
      </c>
      <c r="F31" s="32"/>
      <c r="G31" s="33"/>
      <c r="H31" s="33"/>
      <c r="I31" s="33">
        <f>E31*I30</f>
        <v>800.00198</v>
      </c>
      <c r="J31" s="33"/>
      <c r="K31" s="33"/>
      <c r="L31" s="33"/>
      <c r="M31" s="33"/>
      <c r="N31" s="33"/>
      <c r="O31" s="33"/>
      <c r="P31" s="33"/>
      <c r="Q31" s="33"/>
      <c r="R31" s="36"/>
      <c r="S31" s="34"/>
      <c r="T31" s="35">
        <f t="shared" ref="T31" si="73">(E31-E31/(1+T30))+(F31-F31/(1+T30))</f>
        <v>104.34808434782599</v>
      </c>
      <c r="U31" s="33"/>
      <c r="V31" s="36">
        <f t="shared" ref="V31" si="74">(E31+F31)/(1+T30)</f>
        <v>695.65389565217401</v>
      </c>
      <c r="W31" s="36">
        <v>266.66666666666669</v>
      </c>
      <c r="X31" s="37"/>
      <c r="Y31" s="36">
        <f>W31*Y30</f>
        <v>26.666666666666671</v>
      </c>
      <c r="Z31" s="37"/>
      <c r="AA31" s="33"/>
      <c r="AB31" s="37"/>
      <c r="AC31" s="33"/>
      <c r="AD31" s="33"/>
      <c r="AE31" s="36">
        <v>102.27272727272727</v>
      </c>
      <c r="AF31" s="37"/>
      <c r="AG31" s="145">
        <f>AE31*AG30</f>
        <v>12.272727272727272</v>
      </c>
      <c r="AH31" s="38"/>
      <c r="AI31" s="31"/>
      <c r="AJ31" s="37"/>
      <c r="AK31" s="31"/>
      <c r="AL31" s="33"/>
      <c r="AM31" s="33"/>
      <c r="AN31" s="33"/>
      <c r="AO31" s="33"/>
      <c r="AP31" s="33"/>
      <c r="AQ31" s="33"/>
      <c r="AR31" s="33"/>
      <c r="AS31" s="33"/>
      <c r="AT31" s="33"/>
      <c r="AU31" s="31">
        <f>E31-T31-W31-AE31-BA31-BC31-BI31</f>
        <v>267.60126672957955</v>
      </c>
      <c r="AV31" s="38"/>
      <c r="AW31" s="39"/>
      <c r="AX31" s="40"/>
      <c r="AY31" s="31"/>
      <c r="AZ31" s="37"/>
      <c r="BA31" s="31">
        <f t="shared" ref="BA31" si="75">BA30*V31</f>
        <v>6.8174081773913056</v>
      </c>
      <c r="BB31" s="37"/>
      <c r="BC31" s="31">
        <f t="shared" ref="BC31" si="76">(E31+F31)/(1+T30)*BC30</f>
        <v>7.0956697356521756</v>
      </c>
      <c r="BD31" s="37"/>
      <c r="BE31" s="33"/>
      <c r="BF31" s="37"/>
      <c r="BG31" s="33"/>
      <c r="BH31" s="33"/>
      <c r="BI31" s="31">
        <f t="shared" si="6"/>
        <v>45.200157070157069</v>
      </c>
      <c r="BJ31" s="33"/>
      <c r="BK31" s="33"/>
      <c r="BL31" s="41"/>
      <c r="BM31" s="50">
        <f t="shared" si="67"/>
        <v>695.65389565217401</v>
      </c>
      <c r="BN31" s="50">
        <f>BM31-V31</f>
        <v>0</v>
      </c>
    </row>
    <row r="32" spans="2:66" ht="15.5" x14ac:dyDescent="0.35">
      <c r="B32" s="173" t="s">
        <v>90</v>
      </c>
      <c r="C32" s="28" t="s">
        <v>6</v>
      </c>
      <c r="D32" s="142"/>
      <c r="E32" s="20">
        <v>2E-3</v>
      </c>
      <c r="F32" s="44"/>
      <c r="G32" s="21"/>
      <c r="H32" s="21"/>
      <c r="I32" s="20">
        <v>1</v>
      </c>
      <c r="J32" s="1"/>
      <c r="K32" s="1"/>
      <c r="L32" s="1"/>
      <c r="M32" s="1"/>
      <c r="N32" s="1"/>
      <c r="O32" s="1"/>
      <c r="P32" s="1"/>
      <c r="Q32" s="20"/>
      <c r="R32" s="47"/>
      <c r="S32" s="23"/>
      <c r="T32" s="24">
        <v>0.15</v>
      </c>
      <c r="U32" s="25" t="s">
        <v>11</v>
      </c>
      <c r="V32" s="46">
        <f t="shared" ref="V32" si="77">(E32+F32)/(1+T32)</f>
        <v>1.7391304347826088E-3</v>
      </c>
      <c r="W32" s="46"/>
      <c r="X32" s="25" t="s">
        <v>51</v>
      </c>
      <c r="Y32" s="144">
        <v>0.1</v>
      </c>
      <c r="Z32" s="25" t="s">
        <v>11</v>
      </c>
      <c r="AA32" s="1"/>
      <c r="AB32" s="25"/>
      <c r="AC32" s="1"/>
      <c r="AD32" s="1"/>
      <c r="AE32" s="46"/>
      <c r="AF32" s="25" t="s">
        <v>11</v>
      </c>
      <c r="AG32" s="27">
        <v>0.12</v>
      </c>
      <c r="AH32" s="25"/>
      <c r="AI32" s="29"/>
      <c r="AJ32" s="25"/>
      <c r="AK32" s="27"/>
      <c r="AL32" s="25"/>
      <c r="AM32" s="25"/>
      <c r="AN32" s="25"/>
      <c r="AO32" s="25"/>
      <c r="AP32" s="25"/>
      <c r="AQ32" s="25"/>
      <c r="AR32" s="25"/>
      <c r="AS32" s="25"/>
      <c r="AT32" s="25"/>
      <c r="AU32" s="26">
        <f>AU33/V33</f>
        <v>0.6637964312964314</v>
      </c>
      <c r="AV32" s="25" t="s">
        <v>11</v>
      </c>
      <c r="AW32" s="27"/>
      <c r="AX32" s="1"/>
      <c r="AY32" s="26"/>
      <c r="AZ32" s="25"/>
      <c r="BA32" s="20">
        <v>9.7999999999999997E-3</v>
      </c>
      <c r="BB32" s="25" t="s">
        <v>11</v>
      </c>
      <c r="BC32" s="20">
        <v>1.0200000000000001E-2</v>
      </c>
      <c r="BD32" s="25" t="s">
        <v>36</v>
      </c>
      <c r="BE32" s="22"/>
      <c r="BF32" s="25"/>
      <c r="BG32" s="1"/>
      <c r="BH32" s="1"/>
      <c r="BI32" s="141">
        <v>3.3350033350033344E-2</v>
      </c>
      <c r="BJ32" s="1"/>
      <c r="BK32" s="1"/>
      <c r="BL32" s="41"/>
      <c r="BM32" s="30">
        <f t="shared" ref="BM32:BM35" si="78">W32+AA32+AE32+AI32+AM32+AQ32+AU32+BA32+BC32+BI32</f>
        <v>0.71714646464646481</v>
      </c>
    </row>
    <row r="33" spans="2:66" ht="15.5" x14ac:dyDescent="0.35">
      <c r="B33" s="174"/>
      <c r="C33" s="42" t="s">
        <v>6</v>
      </c>
      <c r="D33" s="143">
        <v>1000000</v>
      </c>
      <c r="E33" s="34">
        <f>D33*E32</f>
        <v>2000</v>
      </c>
      <c r="F33" s="32"/>
      <c r="G33" s="33"/>
      <c r="H33" s="33"/>
      <c r="I33" s="33">
        <f>E33*I32</f>
        <v>2000</v>
      </c>
      <c r="J33" s="33"/>
      <c r="K33" s="33"/>
      <c r="L33" s="33"/>
      <c r="M33" s="33"/>
      <c r="N33" s="33"/>
      <c r="O33" s="33"/>
      <c r="P33" s="33"/>
      <c r="Q33" s="33"/>
      <c r="R33" s="36"/>
      <c r="S33" s="34"/>
      <c r="T33" s="35">
        <f t="shared" ref="T33" si="79">(E33-E33/(1+T32))+(F33-F33/(1+T32))</f>
        <v>260.86956521739125</v>
      </c>
      <c r="U33" s="33"/>
      <c r="V33" s="36">
        <f t="shared" ref="V33" si="80">(E33+F33)/(1+T32)</f>
        <v>1739.1304347826087</v>
      </c>
      <c r="W33" s="36">
        <v>355.55555555555554</v>
      </c>
      <c r="X33" s="37"/>
      <c r="Y33" s="36">
        <f>W33*Y32</f>
        <v>35.555555555555557</v>
      </c>
      <c r="Z33" s="37"/>
      <c r="AA33" s="33"/>
      <c r="AB33" s="37"/>
      <c r="AC33" s="33"/>
      <c r="AD33" s="33"/>
      <c r="AE33" s="36">
        <v>136.36363636363637</v>
      </c>
      <c r="AF33" s="37"/>
      <c r="AG33" s="145">
        <f>AE33*AG32</f>
        <v>16.363636363636363</v>
      </c>
      <c r="AH33" s="43"/>
      <c r="AI33" s="31"/>
      <c r="AJ33" s="37"/>
      <c r="AK33" s="31"/>
      <c r="AL33" s="33"/>
      <c r="AM33" s="33"/>
      <c r="AN33" s="33"/>
      <c r="AO33" s="33"/>
      <c r="AP33" s="33"/>
      <c r="AQ33" s="33"/>
      <c r="AR33" s="33"/>
      <c r="AS33" s="33"/>
      <c r="AT33" s="33"/>
      <c r="AU33" s="31">
        <f>E33-T33-W33-AE33-BA33-BC33-BI33</f>
        <v>1154.4285761677068</v>
      </c>
      <c r="AV33" s="38"/>
      <c r="AW33" s="39"/>
      <c r="AX33" s="40"/>
      <c r="AY33" s="31"/>
      <c r="AZ33" s="37"/>
      <c r="BA33" s="31">
        <f t="shared" ref="BA33" si="81">BA32*V33</f>
        <v>17.043478260869566</v>
      </c>
      <c r="BB33" s="37"/>
      <c r="BC33" s="31">
        <f t="shared" ref="BC33" si="82">(E33+F33)/(1+T32)*BC32</f>
        <v>17.739130434782609</v>
      </c>
      <c r="BD33" s="37"/>
      <c r="BE33" s="33"/>
      <c r="BF33" s="37"/>
      <c r="BG33" s="33"/>
      <c r="BH33" s="33"/>
      <c r="BI33" s="31">
        <f t="shared" si="6"/>
        <v>58.00005800005799</v>
      </c>
      <c r="BJ33" s="33"/>
      <c r="BK33" s="33"/>
      <c r="BL33" s="41"/>
      <c r="BM33" s="50">
        <f t="shared" si="78"/>
        <v>1739.1304347826087</v>
      </c>
      <c r="BN33" s="50">
        <f>BM33-V33</f>
        <v>0</v>
      </c>
    </row>
    <row r="34" spans="2:66" ht="15.5" x14ac:dyDescent="0.35">
      <c r="B34" s="174"/>
      <c r="C34" s="28" t="s">
        <v>7</v>
      </c>
      <c r="D34" s="142"/>
      <c r="E34" s="20">
        <v>2E-3</v>
      </c>
      <c r="F34" s="45"/>
      <c r="G34" s="20"/>
      <c r="H34" s="21"/>
      <c r="I34" s="20">
        <v>1</v>
      </c>
      <c r="J34" s="1"/>
      <c r="K34" s="1"/>
      <c r="L34" s="1"/>
      <c r="M34" s="1"/>
      <c r="N34" s="1"/>
      <c r="O34" s="1"/>
      <c r="P34" s="1"/>
      <c r="Q34" s="20"/>
      <c r="R34" s="47"/>
      <c r="S34" s="49">
        <f>AY34</f>
        <v>1.132625</v>
      </c>
      <c r="T34" s="24">
        <v>0.15</v>
      </c>
      <c r="U34" s="25" t="s">
        <v>11</v>
      </c>
      <c r="V34" s="46">
        <f t="shared" ref="V34" si="83">(E34+F34)/(1+T34)</f>
        <v>1.7391304347826088E-3</v>
      </c>
      <c r="W34" s="46"/>
      <c r="X34" s="25" t="s">
        <v>51</v>
      </c>
      <c r="Y34" s="144">
        <v>0.1</v>
      </c>
      <c r="Z34" s="25" t="s">
        <v>11</v>
      </c>
      <c r="AA34" s="1"/>
      <c r="AB34" s="25"/>
      <c r="AC34" s="1"/>
      <c r="AD34" s="1"/>
      <c r="AE34" s="46"/>
      <c r="AF34" s="25" t="s">
        <v>11</v>
      </c>
      <c r="AG34" s="27">
        <v>0.12</v>
      </c>
      <c r="AH34" s="25"/>
      <c r="AI34" s="29"/>
      <c r="AJ34" s="25"/>
      <c r="AK34" s="27"/>
      <c r="AL34" s="25"/>
      <c r="AM34" s="25"/>
      <c r="AN34" s="25"/>
      <c r="AO34" s="25"/>
      <c r="AP34" s="25"/>
      <c r="AQ34" s="25"/>
      <c r="AR34" s="25"/>
      <c r="AS34" s="25"/>
      <c r="AT34" s="25"/>
      <c r="AU34" s="26">
        <f>AU35/V35</f>
        <v>0.63217139967139979</v>
      </c>
      <c r="AV34" s="25" t="s">
        <v>11</v>
      </c>
      <c r="AW34" s="27"/>
      <c r="AX34" s="1"/>
      <c r="AY34" s="48">
        <f>0.85*133.25%</f>
        <v>1.132625</v>
      </c>
      <c r="AZ34" s="25" t="s">
        <v>11</v>
      </c>
      <c r="BA34" s="20">
        <v>9.7999999999999997E-3</v>
      </c>
      <c r="BB34" s="25" t="s">
        <v>11</v>
      </c>
      <c r="BC34" s="20">
        <v>1.0200000000000001E-2</v>
      </c>
      <c r="BD34" s="25" t="s">
        <v>36</v>
      </c>
      <c r="BE34" s="22"/>
      <c r="BF34" s="25"/>
      <c r="BG34" s="1"/>
      <c r="BH34" s="1"/>
      <c r="BI34" s="141">
        <v>6.4975064975064958E-2</v>
      </c>
      <c r="BJ34" s="1"/>
      <c r="BK34" s="1"/>
      <c r="BL34" s="41"/>
      <c r="BM34" s="30">
        <f t="shared" si="78"/>
        <v>0.71714646464646481</v>
      </c>
    </row>
    <row r="35" spans="2:66" ht="15.5" x14ac:dyDescent="0.35">
      <c r="B35" s="175"/>
      <c r="C35" s="42" t="s">
        <v>7</v>
      </c>
      <c r="D35" s="143">
        <v>1000000</v>
      </c>
      <c r="E35" s="34">
        <f>D35*E34</f>
        <v>2000</v>
      </c>
      <c r="F35" s="32"/>
      <c r="G35" s="33"/>
      <c r="H35" s="33"/>
      <c r="I35" s="33">
        <f>E35*I34</f>
        <v>2000</v>
      </c>
      <c r="J35" s="33"/>
      <c r="K35" s="33"/>
      <c r="L35" s="33"/>
      <c r="M35" s="33"/>
      <c r="N35" s="33"/>
      <c r="O35" s="33"/>
      <c r="P35" s="33"/>
      <c r="Q35" s="33"/>
      <c r="R35" s="36"/>
      <c r="S35" s="34"/>
      <c r="T35" s="35">
        <f t="shared" ref="T35" si="84">(E35-E35/(1+T34))+(F35-F35/(1+T34))</f>
        <v>260.86956521739125</v>
      </c>
      <c r="U35" s="33"/>
      <c r="V35" s="36">
        <f t="shared" ref="V35" si="85">(E35+F35)/(1+T34)</f>
        <v>1739.1304347826087</v>
      </c>
      <c r="W35" s="36">
        <v>355.55555555555554</v>
      </c>
      <c r="X35" s="37"/>
      <c r="Y35" s="36">
        <f>W35*Y34</f>
        <v>35.555555555555557</v>
      </c>
      <c r="Z35" s="37"/>
      <c r="AA35" s="33"/>
      <c r="AB35" s="37"/>
      <c r="AC35" s="33"/>
      <c r="AD35" s="33"/>
      <c r="AE35" s="36">
        <v>136.36363636363637</v>
      </c>
      <c r="AF35" s="37"/>
      <c r="AG35" s="145">
        <f>AE35*AG34</f>
        <v>16.363636363636363</v>
      </c>
      <c r="AH35" s="38"/>
      <c r="AI35" s="31"/>
      <c r="AJ35" s="37"/>
      <c r="AK35" s="31"/>
      <c r="AL35" s="33"/>
      <c r="AM35" s="33"/>
      <c r="AN35" s="33"/>
      <c r="AO35" s="33"/>
      <c r="AP35" s="33"/>
      <c r="AQ35" s="33"/>
      <c r="AR35" s="33"/>
      <c r="AS35" s="33"/>
      <c r="AT35" s="33"/>
      <c r="AU35" s="31">
        <f>E35-T35-W35-AE35-BA35-BC35-BI35</f>
        <v>1099.4285211676518</v>
      </c>
      <c r="AV35" s="38"/>
      <c r="AW35" s="39"/>
      <c r="AX35" s="40"/>
      <c r="AY35" s="31"/>
      <c r="AZ35" s="37"/>
      <c r="BA35" s="31">
        <f t="shared" ref="BA35" si="86">BA34*V35</f>
        <v>17.043478260869566</v>
      </c>
      <c r="BB35" s="37"/>
      <c r="BC35" s="31">
        <f t="shared" ref="BC35" si="87">(E35+F35)/(1+T34)*BC34</f>
        <v>17.739130434782609</v>
      </c>
      <c r="BD35" s="37"/>
      <c r="BE35" s="33"/>
      <c r="BF35" s="37"/>
      <c r="BG35" s="33"/>
      <c r="BH35" s="33"/>
      <c r="BI35" s="31">
        <f t="shared" si="6"/>
        <v>113.00011300011298</v>
      </c>
      <c r="BJ35" s="33"/>
      <c r="BK35" s="33"/>
      <c r="BL35" s="41"/>
      <c r="BM35" s="50">
        <f t="shared" si="78"/>
        <v>1739.1304347826087</v>
      </c>
      <c r="BN35" s="50">
        <f>BM35-V35</f>
        <v>0</v>
      </c>
    </row>
  </sheetData>
  <mergeCells count="32">
    <mergeCell ref="B32:B35"/>
    <mergeCell ref="B12:B15"/>
    <mergeCell ref="B16:B19"/>
    <mergeCell ref="B20:B23"/>
    <mergeCell ref="B24:B27"/>
    <mergeCell ref="B28:B31"/>
    <mergeCell ref="B8:B11"/>
    <mergeCell ref="W2:Z2"/>
    <mergeCell ref="AA2:AD2"/>
    <mergeCell ref="B2:D2"/>
    <mergeCell ref="B4:B7"/>
    <mergeCell ref="BJ2:BK2"/>
    <mergeCell ref="BA2:BB2"/>
    <mergeCell ref="BC2:BF2"/>
    <mergeCell ref="AU2:AX2"/>
    <mergeCell ref="AI2:AL2"/>
    <mergeCell ref="AM2:AP2"/>
    <mergeCell ref="AQ2:AT2"/>
    <mergeCell ref="AY2:AZ2"/>
    <mergeCell ref="AE2:AH2"/>
    <mergeCell ref="E1:S1"/>
    <mergeCell ref="W1:BH1"/>
    <mergeCell ref="T1:V1"/>
    <mergeCell ref="BG2:BH2"/>
    <mergeCell ref="G2:H2"/>
    <mergeCell ref="I2:J2"/>
    <mergeCell ref="O2:P2"/>
    <mergeCell ref="M2:N2"/>
    <mergeCell ref="E2:F2"/>
    <mergeCell ref="K2:L2"/>
    <mergeCell ref="Q2:S2"/>
    <mergeCell ref="T2:U2"/>
  </mergeCells>
  <pageMargins left="0.7" right="0.7" top="0.75" bottom="0.75" header="0.3" footer="0.3"/>
  <pageSetup orientation="portrait" horizontalDpi="4294967295" verticalDpi="4294967295" r:id="rId1"/>
  <ignoredErrors>
    <ignoredError sqref="V5:V35 AU5:AU3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51" hidden="1" customWidth="1"/>
    <col min="4" max="4" width="4.1796875" style="51" customWidth="1"/>
    <col min="5" max="5" width="10.453125" style="51" customWidth="1"/>
    <col min="6" max="6" width="10.7265625" style="51" bestFit="1" customWidth="1"/>
    <col min="7" max="7" width="7.81640625" style="51" customWidth="1"/>
    <col min="8" max="8" width="7.7265625" style="51" customWidth="1"/>
    <col min="9" max="9" width="7.453125" style="51" customWidth="1"/>
    <col min="10" max="10" width="7.54296875" style="51" customWidth="1"/>
    <col min="11" max="11" width="8.08984375" style="51" bestFit="1" customWidth="1"/>
    <col min="12" max="12" width="8.7265625" style="51" bestFit="1" customWidth="1"/>
    <col min="13" max="13" width="2.26953125" style="51" customWidth="1"/>
    <col min="14" max="14" width="9.54296875" style="51" customWidth="1"/>
    <col min="15" max="15" width="7.81640625" style="51" bestFit="1" customWidth="1"/>
    <col min="16" max="16" width="8.453125" style="51" customWidth="1"/>
    <col min="17" max="17" width="7.54296875" style="51" customWidth="1"/>
    <col min="18" max="18" width="8.26953125" style="51" customWidth="1"/>
    <col min="19" max="19" width="8.08984375" style="51" bestFit="1" customWidth="1"/>
    <col min="20" max="20" width="8.453125" style="51" customWidth="1"/>
    <col min="21" max="21" width="14.54296875" style="51" bestFit="1" customWidth="1"/>
    <col min="22" max="16384" width="9.1796875" style="51"/>
  </cols>
  <sheetData>
    <row r="1" spans="5:23" ht="12" thickBot="1" x14ac:dyDescent="0.4"/>
    <row r="2" spans="5:23" ht="15" customHeight="1" thickBot="1" x14ac:dyDescent="0.4">
      <c r="E2" s="52"/>
      <c r="F2" s="181" t="s">
        <v>6</v>
      </c>
      <c r="G2" s="182"/>
      <c r="H2" s="182"/>
      <c r="I2" s="182"/>
      <c r="J2" s="182"/>
      <c r="K2" s="182"/>
      <c r="L2" s="183"/>
      <c r="M2" s="53"/>
      <c r="N2" s="181" t="s">
        <v>7</v>
      </c>
      <c r="O2" s="182"/>
      <c r="P2" s="182"/>
      <c r="Q2" s="182"/>
      <c r="R2" s="182"/>
      <c r="S2" s="182"/>
      <c r="T2" s="183"/>
    </row>
    <row r="3" spans="5:23" ht="12.5" thickBot="1" x14ac:dyDescent="0.4">
      <c r="E3" s="54" t="s">
        <v>52</v>
      </c>
      <c r="F3" s="55"/>
      <c r="G3" s="56">
        <v>2E-3</v>
      </c>
      <c r="H3" s="52"/>
      <c r="I3" s="52"/>
      <c r="J3" s="57"/>
      <c r="K3" s="52"/>
      <c r="L3" s="52"/>
      <c r="M3" s="58"/>
      <c r="N3" s="55"/>
      <c r="O3" s="56">
        <f>G3</f>
        <v>2E-3</v>
      </c>
      <c r="P3" s="52"/>
      <c r="Q3" s="52"/>
      <c r="R3" s="57"/>
      <c r="S3" s="55"/>
      <c r="T3" s="57"/>
    </row>
    <row r="4" spans="5:23" ht="12.65" customHeight="1" thickBot="1" x14ac:dyDescent="0.4">
      <c r="E4" s="59" t="s">
        <v>12</v>
      </c>
      <c r="F4" s="60">
        <v>0.15</v>
      </c>
      <c r="G4" s="61">
        <f>G3-G5</f>
        <v>2.6086956521739128E-4</v>
      </c>
      <c r="H4" s="52"/>
      <c r="I4" s="62"/>
      <c r="J4" s="52"/>
      <c r="K4" s="184" t="s">
        <v>53</v>
      </c>
      <c r="L4" s="185"/>
      <c r="M4" s="63"/>
      <c r="N4" s="60">
        <v>0.15</v>
      </c>
      <c r="O4" s="61">
        <f>O3-O5</f>
        <v>2.6086956521739128E-4</v>
      </c>
      <c r="P4" s="52"/>
      <c r="Q4" s="52"/>
      <c r="R4" s="52"/>
      <c r="S4" s="184" t="s">
        <v>53</v>
      </c>
      <c r="T4" s="186"/>
    </row>
    <row r="5" spans="5:23" ht="12" x14ac:dyDescent="0.35">
      <c r="E5" s="52"/>
      <c r="F5" s="64"/>
      <c r="G5" s="61">
        <f>G3/(1+F4)</f>
        <v>1.7391304347826088E-3</v>
      </c>
      <c r="H5" s="65"/>
      <c r="I5" s="52"/>
      <c r="J5" s="52"/>
      <c r="K5" s="66"/>
      <c r="L5" s="67"/>
      <c r="M5" s="68"/>
      <c r="N5" s="69"/>
      <c r="O5" s="61">
        <f>O3/(1+N4)</f>
        <v>1.7391304347826088E-3</v>
      </c>
      <c r="P5" s="52"/>
      <c r="Q5" s="52"/>
      <c r="R5" s="52"/>
      <c r="S5" s="66"/>
      <c r="T5" s="67"/>
    </row>
    <row r="6" spans="5:23" ht="12" x14ac:dyDescent="0.35">
      <c r="E6" s="52"/>
      <c r="F6" s="55"/>
      <c r="G6" s="52"/>
      <c r="H6" s="52"/>
      <c r="I6" s="52"/>
      <c r="J6" s="52"/>
      <c r="K6" s="70">
        <v>10000</v>
      </c>
      <c r="L6" s="71">
        <v>19999.990000000002</v>
      </c>
      <c r="M6" s="72"/>
      <c r="N6" s="52"/>
      <c r="O6" s="52"/>
      <c r="P6" s="52"/>
      <c r="Q6" s="52"/>
      <c r="R6" s="52"/>
      <c r="S6" s="70">
        <v>10000</v>
      </c>
      <c r="T6" s="71">
        <v>19999.990000000002</v>
      </c>
    </row>
    <row r="7" spans="5:23" s="77" customFormat="1" ht="51" customHeight="1" thickBot="1" x14ac:dyDescent="0.4">
      <c r="E7" s="73"/>
      <c r="F7" s="74" t="s">
        <v>54</v>
      </c>
      <c r="G7" s="74" t="s">
        <v>55</v>
      </c>
      <c r="H7" s="74" t="s">
        <v>56</v>
      </c>
      <c r="I7" s="74" t="s">
        <v>57</v>
      </c>
      <c r="J7" s="74" t="s">
        <v>58</v>
      </c>
      <c r="K7" s="75"/>
      <c r="L7" s="75"/>
      <c r="M7" s="63"/>
      <c r="N7" s="74" t="s">
        <v>54</v>
      </c>
      <c r="O7" s="74" t="s">
        <v>55</v>
      </c>
      <c r="P7" s="74" t="s">
        <v>56</v>
      </c>
      <c r="Q7" s="74" t="s">
        <v>57</v>
      </c>
      <c r="R7" s="74" t="s">
        <v>58</v>
      </c>
      <c r="S7" s="75"/>
      <c r="T7" s="76"/>
    </row>
    <row r="8" spans="5:23" ht="12" x14ac:dyDescent="0.35">
      <c r="E8" s="78" t="s">
        <v>59</v>
      </c>
      <c r="F8" s="79">
        <v>0</v>
      </c>
      <c r="G8" s="80">
        <f>F8*G5</f>
        <v>0</v>
      </c>
      <c r="H8" s="79">
        <v>0.1</v>
      </c>
      <c r="I8" s="80">
        <f>G8*H8</f>
        <v>0</v>
      </c>
      <c r="J8" s="80">
        <f>G8-I8</f>
        <v>0</v>
      </c>
      <c r="K8" s="81">
        <f>J8*K6</f>
        <v>0</v>
      </c>
      <c r="L8" s="82">
        <f>J8*L6</f>
        <v>0</v>
      </c>
      <c r="M8" s="83"/>
      <c r="N8" s="79">
        <v>0</v>
      </c>
      <c r="O8" s="80">
        <f>N8*O5</f>
        <v>0</v>
      </c>
      <c r="P8" s="79">
        <v>0.1</v>
      </c>
      <c r="Q8" s="80">
        <f>O8*P8</f>
        <v>0</v>
      </c>
      <c r="R8" s="80">
        <f>O8-Q8</f>
        <v>0</v>
      </c>
      <c r="S8" s="81">
        <f>R8*S6</f>
        <v>0</v>
      </c>
      <c r="T8" s="82">
        <f>R8*T6</f>
        <v>0</v>
      </c>
      <c r="V8" s="84"/>
      <c r="W8" s="85"/>
    </row>
    <row r="9" spans="5:23" ht="12" x14ac:dyDescent="0.35">
      <c r="E9" s="86" t="s">
        <v>60</v>
      </c>
      <c r="F9" s="87">
        <v>0.51111111111111107</v>
      </c>
      <c r="G9" s="61">
        <f>F9*G5</f>
        <v>8.8888888888888882E-4</v>
      </c>
      <c r="H9" s="87">
        <v>0.1</v>
      </c>
      <c r="I9" s="61">
        <f>G9*H9</f>
        <v>8.8888888888888893E-5</v>
      </c>
      <c r="J9" s="61">
        <f>G9-I9</f>
        <v>7.9999999999999993E-4</v>
      </c>
      <c r="K9" s="88">
        <f>J9*K6</f>
        <v>7.9999999999999991</v>
      </c>
      <c r="L9" s="71">
        <f>K9</f>
        <v>7.9999999999999991</v>
      </c>
      <c r="M9" s="89"/>
      <c r="N9" s="87">
        <v>0.51111111111111107</v>
      </c>
      <c r="O9" s="61">
        <f>N9*O5</f>
        <v>8.8888888888888882E-4</v>
      </c>
      <c r="P9" s="87">
        <v>0.1</v>
      </c>
      <c r="Q9" s="61">
        <f>O9*P9</f>
        <v>8.8888888888888893E-5</v>
      </c>
      <c r="R9" s="61">
        <f>O9-Q9</f>
        <v>7.9999999999999993E-4</v>
      </c>
      <c r="S9" s="88">
        <f>R9*S6</f>
        <v>7.9999999999999991</v>
      </c>
      <c r="T9" s="71">
        <f>S9</f>
        <v>7.9999999999999991</v>
      </c>
      <c r="V9" s="128">
        <f>F9/K9*8</f>
        <v>0.51111111111111118</v>
      </c>
      <c r="W9" s="85">
        <f>N9/S9*8</f>
        <v>0.51111111111111118</v>
      </c>
    </row>
    <row r="10" spans="5:23" ht="12" x14ac:dyDescent="0.35">
      <c r="E10" s="86" t="s">
        <v>61</v>
      </c>
      <c r="F10" s="87">
        <v>0</v>
      </c>
      <c r="G10" s="61">
        <f>F10*G5</f>
        <v>0</v>
      </c>
      <c r="H10" s="87">
        <v>0.12</v>
      </c>
      <c r="I10" s="61">
        <f>G10*H10</f>
        <v>0</v>
      </c>
      <c r="J10" s="61">
        <f>G10-I10</f>
        <v>0</v>
      </c>
      <c r="K10" s="88">
        <f>J10*K6</f>
        <v>0</v>
      </c>
      <c r="L10" s="71">
        <f>J10*L6</f>
        <v>0</v>
      </c>
      <c r="M10" s="89"/>
      <c r="N10" s="87">
        <v>0</v>
      </c>
      <c r="O10" s="61">
        <f>N10*O5</f>
        <v>0</v>
      </c>
      <c r="P10" s="87">
        <v>0.12</v>
      </c>
      <c r="Q10" s="61">
        <f>O10*P10</f>
        <v>0</v>
      </c>
      <c r="R10" s="61">
        <f>O10-Q10</f>
        <v>0</v>
      </c>
      <c r="S10" s="88">
        <f>R10*S6</f>
        <v>0</v>
      </c>
      <c r="T10" s="71">
        <f>R10*T6</f>
        <v>0</v>
      </c>
      <c r="V10" s="128"/>
      <c r="W10" s="85"/>
    </row>
    <row r="11" spans="5:23" ht="12" x14ac:dyDescent="0.35">
      <c r="E11" s="86" t="s">
        <v>62</v>
      </c>
      <c r="F11" s="87">
        <v>0.19602272727272729</v>
      </c>
      <c r="G11" s="61">
        <f>F11*G5</f>
        <v>3.4090909090909094E-4</v>
      </c>
      <c r="H11" s="87">
        <v>0.12</v>
      </c>
      <c r="I11" s="61">
        <f>G11*H11</f>
        <v>4.0909090909090908E-5</v>
      </c>
      <c r="J11" s="61">
        <f>G11-I11</f>
        <v>3.0000000000000003E-4</v>
      </c>
      <c r="K11" s="88">
        <f>J11*K6</f>
        <v>3.0000000000000004</v>
      </c>
      <c r="L11" s="71">
        <f>K11</f>
        <v>3.0000000000000004</v>
      </c>
      <c r="M11" s="89"/>
      <c r="N11" s="87">
        <v>0.19602272727272729</v>
      </c>
      <c r="O11" s="61">
        <f>N11*O5</f>
        <v>3.4090909090909094E-4</v>
      </c>
      <c r="P11" s="87">
        <v>0.12</v>
      </c>
      <c r="Q11" s="61">
        <f>O11*P11</f>
        <v>4.0909090909090908E-5</v>
      </c>
      <c r="R11" s="61">
        <f>O11-Q11</f>
        <v>3.0000000000000003E-4</v>
      </c>
      <c r="S11" s="88">
        <f>R11*S6</f>
        <v>3.0000000000000004</v>
      </c>
      <c r="T11" s="71">
        <f>S11</f>
        <v>3.0000000000000004</v>
      </c>
      <c r="V11" s="128">
        <f>F11/K11*3</f>
        <v>0.19602272727272727</v>
      </c>
      <c r="W11" s="85">
        <f>N11/S11*3</f>
        <v>0.19602272727272727</v>
      </c>
    </row>
    <row r="12" spans="5:23" ht="12" x14ac:dyDescent="0.35">
      <c r="E12" s="86" t="s">
        <v>63</v>
      </c>
      <c r="F12" s="87">
        <v>1.0200000000000001E-2</v>
      </c>
      <c r="G12" s="61">
        <f>F12*G5</f>
        <v>1.7739130434782611E-5</v>
      </c>
      <c r="H12" s="87"/>
      <c r="I12" s="90"/>
      <c r="J12" s="87">
        <f>G12</f>
        <v>1.7739130434782611E-5</v>
      </c>
      <c r="K12" s="88">
        <f>J12*K6</f>
        <v>0.1773913043478261</v>
      </c>
      <c r="L12" s="71">
        <f>J12*L6</f>
        <v>0.35478243130434789</v>
      </c>
      <c r="M12" s="89"/>
      <c r="N12" s="87">
        <v>1.0200000000000001E-2</v>
      </c>
      <c r="O12" s="61">
        <f>N12*O5</f>
        <v>1.7739130434782611E-5</v>
      </c>
      <c r="P12" s="87"/>
      <c r="Q12" s="90"/>
      <c r="R12" s="87">
        <f>O12</f>
        <v>1.7739130434782611E-5</v>
      </c>
      <c r="S12" s="88">
        <f>R12*S6</f>
        <v>0.1773913043478261</v>
      </c>
      <c r="T12" s="71">
        <f>R12*T6</f>
        <v>0.35478243130434789</v>
      </c>
      <c r="V12" s="85"/>
      <c r="W12" s="85"/>
    </row>
    <row r="13" spans="5:23" ht="12" x14ac:dyDescent="0.35">
      <c r="E13" s="91" t="s">
        <v>64</v>
      </c>
      <c r="F13" s="92">
        <v>9.7999999999999997E-3</v>
      </c>
      <c r="G13" s="93">
        <f>F13*G5</f>
        <v>1.7043478260869566E-5</v>
      </c>
      <c r="H13" s="92"/>
      <c r="I13" s="94"/>
      <c r="J13" s="92">
        <f>G13</f>
        <v>1.7043478260869566E-5</v>
      </c>
      <c r="K13" s="95">
        <f>J13*K6</f>
        <v>0.17043478260869566</v>
      </c>
      <c r="L13" s="96">
        <f>J13*L6</f>
        <v>0.34086939478260875</v>
      </c>
      <c r="M13" s="89"/>
      <c r="N13" s="92">
        <v>9.7999999999999997E-3</v>
      </c>
      <c r="O13" s="93">
        <f>N13*O5</f>
        <v>1.7043478260869566E-5</v>
      </c>
      <c r="P13" s="92"/>
      <c r="Q13" s="94"/>
      <c r="R13" s="92">
        <f>O13</f>
        <v>1.7043478260869566E-5</v>
      </c>
      <c r="S13" s="95">
        <f>R13*S6</f>
        <v>0.17043478260869566</v>
      </c>
      <c r="T13" s="96">
        <f>R13*T6</f>
        <v>0.34086939478260875</v>
      </c>
      <c r="V13" s="85"/>
      <c r="W13" s="85"/>
    </row>
    <row r="14" spans="5:23" ht="12" x14ac:dyDescent="0.35">
      <c r="E14" s="91" t="s">
        <v>65</v>
      </c>
      <c r="F14" s="97">
        <f>1-SUM(F8:F13)-F15</f>
        <v>0.25619115327865744</v>
      </c>
      <c r="G14" s="93">
        <f>F14*G5</f>
        <v>4.4554983178896946E-4</v>
      </c>
      <c r="H14" s="92"/>
      <c r="I14" s="94"/>
      <c r="J14" s="92">
        <f>G14</f>
        <v>4.4554983178896946E-4</v>
      </c>
      <c r="K14" s="95">
        <f>J14*K6</f>
        <v>4.4554983178896945</v>
      </c>
      <c r="L14" s="96">
        <f>J14*L6</f>
        <v>8.9109921802810721</v>
      </c>
      <c r="M14" s="89"/>
      <c r="N14" s="97">
        <f>1-SUM(N8:N13)-N15</f>
        <v>0.22456613746614956</v>
      </c>
      <c r="O14" s="93">
        <f>N14*O5</f>
        <v>3.9054980428895577E-4</v>
      </c>
      <c r="P14" s="92"/>
      <c r="Q14" s="94"/>
      <c r="R14" s="92">
        <f>O14</f>
        <v>3.9054980428895577E-4</v>
      </c>
      <c r="S14" s="95">
        <f>R14*S6</f>
        <v>3.9054980428895578</v>
      </c>
      <c r="T14" s="96">
        <f>R14*T6</f>
        <v>7.8109921802810733</v>
      </c>
      <c r="V14" s="85"/>
      <c r="W14" s="85"/>
    </row>
    <row r="15" spans="5:23" ht="12.5" thickBot="1" x14ac:dyDescent="0.4">
      <c r="E15" s="98" t="s">
        <v>1</v>
      </c>
      <c r="F15" s="99">
        <v>1.6675008337504165E-2</v>
      </c>
      <c r="G15" s="100">
        <f>F15*G5</f>
        <v>2.9000014500007244E-5</v>
      </c>
      <c r="H15" s="99"/>
      <c r="I15" s="101"/>
      <c r="J15" s="99">
        <f>G15</f>
        <v>2.9000014500007244E-5</v>
      </c>
      <c r="K15" s="102">
        <f>J15*K6</f>
        <v>0.29000014500007243</v>
      </c>
      <c r="L15" s="103">
        <f>J15*L6</f>
        <v>0.57999999999999996</v>
      </c>
      <c r="M15" s="104"/>
      <c r="N15" s="105">
        <v>4.8300024150012062E-2</v>
      </c>
      <c r="O15" s="100">
        <f>N15*O5</f>
        <v>8.4000042000020983E-5</v>
      </c>
      <c r="P15" s="99"/>
      <c r="Q15" s="101"/>
      <c r="R15" s="99">
        <f>O15</f>
        <v>8.4000042000020983E-5</v>
      </c>
      <c r="S15" s="102">
        <f>R15*S6</f>
        <v>0.8400004200002098</v>
      </c>
      <c r="T15" s="103">
        <f>R15*T6</f>
        <v>1.6799999999999997</v>
      </c>
      <c r="V15" s="85">
        <f>F15/L15*0.58</f>
        <v>1.6675008337504165E-2</v>
      </c>
      <c r="W15" s="85">
        <f>N15/T15*1.68</f>
        <v>4.8300024150012069E-2</v>
      </c>
    </row>
    <row r="16" spans="5:23" ht="12.5" thickBot="1" x14ac:dyDescent="0.4">
      <c r="E16" s="52"/>
      <c r="F16" s="106">
        <f>SUM(F8:F15)</f>
        <v>0.99999999999999989</v>
      </c>
      <c r="G16" s="107">
        <f>SUM(G8:G15)</f>
        <v>1.7391304347826085E-3</v>
      </c>
      <c r="H16" s="108"/>
      <c r="I16" s="52"/>
      <c r="J16" s="107">
        <f>SUM(J8:J15)</f>
        <v>1.6093324549846287E-3</v>
      </c>
      <c r="K16" s="109">
        <f>SUM(K8:K15)</f>
        <v>16.093324549846287</v>
      </c>
      <c r="L16" s="52"/>
      <c r="M16" s="52"/>
      <c r="N16" s="106">
        <f>SUM(N8:N15)</f>
        <v>1</v>
      </c>
      <c r="O16" s="107">
        <f>SUM(O8:O15)</f>
        <v>1.7391304347826085E-3</v>
      </c>
      <c r="P16" s="52"/>
      <c r="Q16" s="52"/>
      <c r="R16" s="107">
        <f>SUM(R8:R15)</f>
        <v>1.6093324549846287E-3</v>
      </c>
      <c r="S16" s="109">
        <f>SUM(S8:S15)</f>
        <v>16.09332454984629</v>
      </c>
      <c r="T16" s="52"/>
    </row>
    <row r="17" spans="3:22" ht="23" hidden="1" x14ac:dyDescent="0.35">
      <c r="J17" s="51" t="s">
        <v>66</v>
      </c>
    </row>
    <row r="18" spans="3:22" hidden="1" x14ac:dyDescent="0.35">
      <c r="C18" s="110"/>
      <c r="D18" s="110"/>
      <c r="J18" s="51">
        <v>4.3</v>
      </c>
      <c r="K18" s="85"/>
      <c r="S18" s="85">
        <f>S14+S13+0.21+0.21+0.75</f>
        <v>5.2459328254982536</v>
      </c>
    </row>
    <row r="19" spans="3:22" ht="12" hidden="1" thickBot="1" x14ac:dyDescent="0.4">
      <c r="F19" s="111"/>
      <c r="G19" s="111"/>
      <c r="H19" s="111">
        <v>4.1000000000000002E-2</v>
      </c>
      <c r="I19" s="111"/>
      <c r="J19" s="111"/>
      <c r="K19" s="112"/>
      <c r="L19" s="111"/>
      <c r="M19" s="111"/>
      <c r="N19" s="111"/>
      <c r="O19" s="111"/>
      <c r="P19" s="111"/>
      <c r="Q19" s="111"/>
      <c r="R19" s="111"/>
    </row>
    <row r="20" spans="3:22" hidden="1" x14ac:dyDescent="0.35">
      <c r="F20" s="111"/>
      <c r="G20" s="111"/>
      <c r="H20" s="111"/>
      <c r="I20" s="111"/>
      <c r="J20" s="111"/>
      <c r="K20" s="111"/>
      <c r="L20" s="111"/>
      <c r="M20" s="111"/>
      <c r="N20" s="111"/>
      <c r="O20" s="111"/>
      <c r="P20" s="111"/>
      <c r="Q20" s="111"/>
      <c r="R20" s="111"/>
    </row>
    <row r="21" spans="3:22" hidden="1" x14ac:dyDescent="0.35">
      <c r="H21" s="51">
        <f>1.41*0.8</f>
        <v>1.1279999999999999</v>
      </c>
    </row>
    <row r="22" spans="3:22" hidden="1" x14ac:dyDescent="0.35">
      <c r="H22" s="113"/>
    </row>
    <row r="23" spans="3:22" ht="15" customHeight="1" thickBot="1" x14ac:dyDescent="0.4">
      <c r="E23" s="187"/>
      <c r="F23" s="187"/>
      <c r="G23" s="114"/>
      <c r="J23" s="111"/>
      <c r="K23" s="115"/>
      <c r="O23" s="116"/>
      <c r="U23" s="117"/>
      <c r="V23" s="118"/>
    </row>
    <row r="24" spans="3:22" ht="15" customHeight="1" thickBot="1" x14ac:dyDescent="0.4">
      <c r="E24" s="119" t="s">
        <v>67</v>
      </c>
      <c r="G24" s="120"/>
      <c r="H24" s="121"/>
      <c r="K24" s="122">
        <f>K13+K14</f>
        <v>4.6259331004983899</v>
      </c>
      <c r="O24" s="116"/>
      <c r="Q24" s="85"/>
      <c r="S24" s="123">
        <f>S13+S14</f>
        <v>4.0759328254982536</v>
      </c>
      <c r="U24" s="85"/>
      <c r="V24" s="85">
        <f>U24/12.5</f>
        <v>0</v>
      </c>
    </row>
    <row r="25" spans="3:22" ht="15" customHeight="1" thickBot="1" x14ac:dyDescent="0.4">
      <c r="E25" s="110"/>
      <c r="G25" s="120"/>
      <c r="H25" s="121"/>
      <c r="K25" s="124"/>
      <c r="O25" s="116"/>
      <c r="S25" s="125"/>
      <c r="U25" s="126"/>
    </row>
    <row r="26" spans="3:22" ht="40" customHeight="1" thickBot="1" x14ac:dyDescent="0.4">
      <c r="E26" s="110"/>
      <c r="G26" s="188" t="s">
        <v>68</v>
      </c>
      <c r="H26" s="189"/>
      <c r="I26" s="189"/>
      <c r="J26" s="190"/>
      <c r="K26" s="127">
        <f>(K24*0.54)+(S24*0.46)</f>
        <v>4.3729329739983278</v>
      </c>
      <c r="L26" s="128"/>
      <c r="N26" s="85"/>
      <c r="O26" s="116"/>
      <c r="S26" s="125"/>
    </row>
    <row r="27" spans="3:22" x14ac:dyDescent="0.35">
      <c r="G27" s="129"/>
      <c r="L27" s="117"/>
    </row>
    <row r="28" spans="3:22" ht="12" thickBot="1" x14ac:dyDescent="0.4">
      <c r="G28" s="129"/>
      <c r="L28" s="117"/>
    </row>
    <row r="29" spans="3:22" ht="33.65" customHeight="1" thickBot="1" x14ac:dyDescent="0.4">
      <c r="F29" s="179" t="s">
        <v>69</v>
      </c>
      <c r="G29" s="180"/>
      <c r="L29" s="117"/>
    </row>
    <row r="30" spans="3:22" ht="24.5" thickBot="1" x14ac:dyDescent="0.4">
      <c r="F30" s="52" t="s">
        <v>70</v>
      </c>
      <c r="G30" s="109">
        <f>SUM(K8:K11)</f>
        <v>11</v>
      </c>
      <c r="H30" s="109"/>
      <c r="I30" s="52"/>
      <c r="J30" s="109"/>
      <c r="L30" s="126"/>
      <c r="N30" s="126"/>
      <c r="O30" s="126"/>
    </row>
    <row r="31" spans="3:22" ht="24.5" thickBot="1" x14ac:dyDescent="0.4">
      <c r="F31" s="52" t="s">
        <v>71</v>
      </c>
      <c r="G31" s="130">
        <f>G30/11.5</f>
        <v>0.95652173913043481</v>
      </c>
      <c r="H31" s="52"/>
      <c r="I31" s="52"/>
      <c r="J31" s="52"/>
      <c r="L31" s="85"/>
      <c r="N31" s="85"/>
      <c r="P31" s="85"/>
    </row>
    <row r="32" spans="3:22" ht="12.5" thickBot="1" x14ac:dyDescent="0.4">
      <c r="F32" s="52" t="s">
        <v>72</v>
      </c>
      <c r="G32" s="109">
        <f>11.5-G30</f>
        <v>0.5</v>
      </c>
      <c r="H32" s="52"/>
      <c r="I32" s="52"/>
      <c r="J32" s="109"/>
      <c r="L32" s="126"/>
      <c r="N32" s="85"/>
    </row>
    <row r="33" spans="6:19" ht="24.5" thickBot="1" x14ac:dyDescent="0.4">
      <c r="F33" s="52" t="s">
        <v>73</v>
      </c>
      <c r="G33" s="130">
        <f>G32/11.5</f>
        <v>4.3478260869565216E-2</v>
      </c>
      <c r="N33" s="125"/>
      <c r="R33" s="117"/>
      <c r="S33" s="126"/>
    </row>
    <row r="34" spans="6:19" ht="36.5" thickBot="1" x14ac:dyDescent="0.4">
      <c r="F34" s="52" t="s">
        <v>74</v>
      </c>
      <c r="G34" s="131">
        <f>1.1*2</f>
        <v>2.2000000000000002</v>
      </c>
      <c r="N34" s="125"/>
      <c r="R34" s="117"/>
      <c r="S34" s="126"/>
    </row>
    <row r="35" spans="6:19" ht="36.5" thickBot="1" x14ac:dyDescent="0.4">
      <c r="F35" s="52" t="s">
        <v>75</v>
      </c>
      <c r="G35" s="132">
        <f>G32-G34</f>
        <v>-1.7000000000000002</v>
      </c>
      <c r="N35" s="125"/>
      <c r="R35" s="117"/>
      <c r="S35" s="126"/>
    </row>
    <row r="36" spans="6:19" ht="48.5" thickBot="1" x14ac:dyDescent="0.4">
      <c r="F36" s="52" t="s">
        <v>76</v>
      </c>
      <c r="G36" s="54">
        <v>2</v>
      </c>
      <c r="N36" s="85"/>
      <c r="P36" s="126"/>
    </row>
    <row r="37" spans="6:19" ht="24.5" thickBot="1" x14ac:dyDescent="0.4">
      <c r="F37" s="52" t="s">
        <v>77</v>
      </c>
      <c r="G37" s="133">
        <f>2/11.5</f>
        <v>0.17391304347826086</v>
      </c>
      <c r="N37" s="85"/>
      <c r="P37" s="126"/>
    </row>
    <row r="38" spans="6:19" ht="24.5" thickBot="1" x14ac:dyDescent="0.4">
      <c r="F38" s="52" t="s">
        <v>78</v>
      </c>
      <c r="G38" s="133">
        <f>G36/12.5</f>
        <v>0.16</v>
      </c>
    </row>
    <row r="39" spans="6:19" ht="24.5" thickBot="1" x14ac:dyDescent="0.4">
      <c r="F39" s="52" t="s">
        <v>79</v>
      </c>
      <c r="G39" s="134">
        <v>0.15</v>
      </c>
    </row>
    <row r="40" spans="6:19" x14ac:dyDescent="0.35">
      <c r="I40" s="51">
        <v>3400</v>
      </c>
      <c r="J40" s="51">
        <v>5000</v>
      </c>
      <c r="P40" s="126"/>
    </row>
    <row r="41" spans="6:19" ht="24" x14ac:dyDescent="0.35">
      <c r="F41" s="90" t="s">
        <v>80</v>
      </c>
      <c r="G41" s="90">
        <v>11.5</v>
      </c>
      <c r="H41" s="90">
        <v>12.5</v>
      </c>
    </row>
    <row r="42" spans="6:19" ht="12" x14ac:dyDescent="0.35">
      <c r="F42" s="90" t="s">
        <v>81</v>
      </c>
      <c r="G42" s="90">
        <f>G41*G39</f>
        <v>1.7249999999999999</v>
      </c>
      <c r="H42" s="90">
        <f>H41*G39</f>
        <v>1.875</v>
      </c>
      <c r="I42" s="51">
        <f>H42*3.4</f>
        <v>6.375</v>
      </c>
      <c r="J42" s="51">
        <f>H42*5</f>
        <v>9.375</v>
      </c>
    </row>
    <row r="43" spans="6:19" ht="24" x14ac:dyDescent="0.35">
      <c r="F43" s="90" t="s">
        <v>82</v>
      </c>
      <c r="G43" s="90">
        <f>G41-G42</f>
        <v>9.7750000000000004</v>
      </c>
      <c r="H43" s="90">
        <f>H41-H42</f>
        <v>10.625</v>
      </c>
      <c r="J43" s="51">
        <f>H43*5</f>
        <v>53.125</v>
      </c>
    </row>
    <row r="44" spans="6:19" x14ac:dyDescent="0.35">
      <c r="J44" s="51">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51" hidden="1" customWidth="1"/>
    <col min="4" max="4" width="4.1796875" style="51" customWidth="1"/>
    <col min="5" max="5" width="10.453125" style="51" customWidth="1"/>
    <col min="6" max="6" width="10.7265625" style="51" bestFit="1" customWidth="1"/>
    <col min="7" max="7" width="7.81640625" style="51" customWidth="1"/>
    <col min="8" max="8" width="7.7265625" style="51" customWidth="1"/>
    <col min="9" max="9" width="7.453125" style="51" customWidth="1"/>
    <col min="10" max="10" width="7.54296875" style="51" customWidth="1"/>
    <col min="11" max="11" width="7.81640625" style="51" customWidth="1"/>
    <col min="12" max="12" width="8.7265625" style="51" bestFit="1" customWidth="1"/>
    <col min="13" max="13" width="2.26953125" style="51" customWidth="1"/>
    <col min="14" max="14" width="9.54296875" style="51" customWidth="1"/>
    <col min="15" max="15" width="11.7265625" style="51" bestFit="1" customWidth="1"/>
    <col min="16" max="16" width="8.453125" style="51" customWidth="1"/>
    <col min="17" max="17" width="7.54296875" style="51" customWidth="1"/>
    <col min="18" max="18" width="8.26953125" style="51" customWidth="1"/>
    <col min="19" max="19" width="7.54296875" style="51" customWidth="1"/>
    <col min="20" max="20" width="8.453125" style="51" customWidth="1"/>
    <col min="21" max="21" width="14.54296875" style="51" bestFit="1" customWidth="1"/>
    <col min="22" max="22" width="9.1796875" style="51"/>
    <col min="23" max="23" width="11.453125" style="51" bestFit="1" customWidth="1"/>
    <col min="24" max="16384" width="9.1796875" style="51"/>
  </cols>
  <sheetData>
    <row r="1" spans="5:23" ht="12" thickBot="1" x14ac:dyDescent="0.4"/>
    <row r="2" spans="5:23" ht="15" customHeight="1" thickBot="1" x14ac:dyDescent="0.4">
      <c r="E2" s="52"/>
      <c r="F2" s="181" t="s">
        <v>6</v>
      </c>
      <c r="G2" s="182"/>
      <c r="H2" s="182"/>
      <c r="I2" s="182"/>
      <c r="J2" s="182"/>
      <c r="K2" s="182"/>
      <c r="L2" s="183"/>
      <c r="M2" s="53"/>
      <c r="N2" s="181" t="s">
        <v>7</v>
      </c>
      <c r="O2" s="182"/>
      <c r="P2" s="182"/>
      <c r="Q2" s="182"/>
      <c r="R2" s="182"/>
      <c r="S2" s="182"/>
      <c r="T2" s="183"/>
    </row>
    <row r="3" spans="5:23" ht="12.5" thickBot="1" x14ac:dyDescent="0.4">
      <c r="E3" s="54" t="s">
        <v>52</v>
      </c>
      <c r="F3" s="55"/>
      <c r="G3" s="56">
        <v>1.2500000000000001E-2</v>
      </c>
      <c r="H3" s="52"/>
      <c r="I3" s="52"/>
      <c r="J3" s="57"/>
      <c r="K3" s="52"/>
      <c r="L3" s="52"/>
      <c r="M3" s="58"/>
      <c r="N3" s="55"/>
      <c r="O3" s="56">
        <f>G3</f>
        <v>1.2500000000000001E-2</v>
      </c>
      <c r="P3" s="52"/>
      <c r="Q3" s="52"/>
      <c r="R3" s="57"/>
      <c r="S3" s="55"/>
      <c r="T3" s="57"/>
    </row>
    <row r="4" spans="5:23" ht="12.65" customHeight="1" thickBot="1" x14ac:dyDescent="0.4">
      <c r="E4" s="59" t="s">
        <v>12</v>
      </c>
      <c r="F4" s="60">
        <v>0.15</v>
      </c>
      <c r="G4" s="61">
        <f>G3-G5</f>
        <v>1.6304347826086949E-3</v>
      </c>
      <c r="H4" s="52"/>
      <c r="I4" s="62"/>
      <c r="J4" s="52"/>
      <c r="K4" s="184" t="s">
        <v>53</v>
      </c>
      <c r="L4" s="185"/>
      <c r="M4" s="63"/>
      <c r="N4" s="60">
        <v>0.15</v>
      </c>
      <c r="O4" s="61">
        <f>O3-O5</f>
        <v>1.6304347826086949E-3</v>
      </c>
      <c r="P4" s="52"/>
      <c r="Q4" s="52"/>
      <c r="R4" s="52"/>
      <c r="S4" s="184" t="s">
        <v>53</v>
      </c>
      <c r="T4" s="186"/>
    </row>
    <row r="5" spans="5:23" ht="12" x14ac:dyDescent="0.35">
      <c r="E5" s="52"/>
      <c r="F5" s="64"/>
      <c r="G5" s="61">
        <f>G3/(1+F4)</f>
        <v>1.0869565217391306E-2</v>
      </c>
      <c r="H5" s="65"/>
      <c r="I5" s="52"/>
      <c r="J5" s="52"/>
      <c r="K5" s="66"/>
      <c r="L5" s="67"/>
      <c r="M5" s="68"/>
      <c r="N5" s="69"/>
      <c r="O5" s="61">
        <f>O3/(1+N4)</f>
        <v>1.0869565217391306E-2</v>
      </c>
      <c r="P5" s="52"/>
      <c r="Q5" s="52"/>
      <c r="R5" s="52"/>
      <c r="S5" s="66"/>
      <c r="T5" s="67"/>
    </row>
    <row r="6" spans="5:23" ht="12" x14ac:dyDescent="0.35">
      <c r="E6" s="52"/>
      <c r="F6" s="55"/>
      <c r="G6" s="52"/>
      <c r="H6" s="52"/>
      <c r="I6" s="52"/>
      <c r="J6" s="52"/>
      <c r="K6" s="70">
        <v>1000</v>
      </c>
      <c r="L6" s="71">
        <v>4000</v>
      </c>
      <c r="M6" s="72"/>
      <c r="N6" s="52"/>
      <c r="O6" s="52"/>
      <c r="P6" s="52"/>
      <c r="Q6" s="52"/>
      <c r="R6" s="52"/>
      <c r="S6" s="70">
        <v>1000</v>
      </c>
      <c r="T6" s="71">
        <v>2700</v>
      </c>
    </row>
    <row r="7" spans="5:23" s="77" customFormat="1" ht="51" customHeight="1" thickBot="1" x14ac:dyDescent="0.4">
      <c r="E7" s="73"/>
      <c r="F7" s="74" t="s">
        <v>54</v>
      </c>
      <c r="G7" s="74" t="s">
        <v>55</v>
      </c>
      <c r="H7" s="74" t="s">
        <v>56</v>
      </c>
      <c r="I7" s="74" t="s">
        <v>57</v>
      </c>
      <c r="J7" s="74" t="s">
        <v>58</v>
      </c>
      <c r="K7" s="75"/>
      <c r="L7" s="75"/>
      <c r="M7" s="63"/>
      <c r="N7" s="74" t="s">
        <v>54</v>
      </c>
      <c r="O7" s="74" t="s">
        <v>55</v>
      </c>
      <c r="P7" s="74" t="s">
        <v>56</v>
      </c>
      <c r="Q7" s="74" t="s">
        <v>57</v>
      </c>
      <c r="R7" s="74" t="s">
        <v>58</v>
      </c>
      <c r="S7" s="75"/>
      <c r="T7" s="76"/>
    </row>
    <row r="8" spans="5:23" ht="12" x14ac:dyDescent="0.35">
      <c r="E8" s="78" t="s">
        <v>59</v>
      </c>
      <c r="F8" s="79">
        <v>0.41911111111111099</v>
      </c>
      <c r="G8" s="80">
        <f>F8*G5</f>
        <v>4.5555555555555549E-3</v>
      </c>
      <c r="H8" s="79">
        <v>0.1</v>
      </c>
      <c r="I8" s="80">
        <f>G8*H8</f>
        <v>4.5555555555555551E-4</v>
      </c>
      <c r="J8" s="80">
        <f>G8-I8</f>
        <v>4.0999999999999995E-3</v>
      </c>
      <c r="K8" s="81">
        <f>J8*K6</f>
        <v>4.0999999999999996</v>
      </c>
      <c r="L8" s="82">
        <f>J8*L6</f>
        <v>16.399999999999999</v>
      </c>
      <c r="M8" s="83"/>
      <c r="N8" s="79">
        <v>0.41911111111111099</v>
      </c>
      <c r="O8" s="80">
        <f>N8*O5</f>
        <v>4.5555555555555549E-3</v>
      </c>
      <c r="P8" s="79">
        <v>0.1</v>
      </c>
      <c r="Q8" s="80">
        <f>O8*P8</f>
        <v>4.5555555555555551E-4</v>
      </c>
      <c r="R8" s="80">
        <f>O8-Q8</f>
        <v>4.0999999999999995E-3</v>
      </c>
      <c r="S8" s="81">
        <f>R8*S6</f>
        <v>4.0999999999999996</v>
      </c>
      <c r="T8" s="82">
        <f>R8*T6</f>
        <v>11.069999999999999</v>
      </c>
      <c r="V8" s="85">
        <f>F8/K8*4.1</f>
        <v>0.41911111111111099</v>
      </c>
      <c r="W8" s="85">
        <f>N8/S8*4.1</f>
        <v>0.41911111111111099</v>
      </c>
    </row>
    <row r="9" spans="5:23" ht="12" x14ac:dyDescent="0.35">
      <c r="E9" s="86" t="s">
        <v>60</v>
      </c>
      <c r="F9" s="87">
        <v>0</v>
      </c>
      <c r="G9" s="61">
        <f>F9*G5</f>
        <v>0</v>
      </c>
      <c r="H9" s="87">
        <v>0.1</v>
      </c>
      <c r="I9" s="61">
        <f>G9*H9</f>
        <v>0</v>
      </c>
      <c r="J9" s="61">
        <f>G9-I9</f>
        <v>0</v>
      </c>
      <c r="K9" s="88">
        <f>J9*K6</f>
        <v>0</v>
      </c>
      <c r="L9" s="71">
        <f>J9*L6</f>
        <v>0</v>
      </c>
      <c r="M9" s="89"/>
      <c r="N9" s="87">
        <v>0</v>
      </c>
      <c r="O9" s="61">
        <f>N9*O5</f>
        <v>0</v>
      </c>
      <c r="P9" s="87">
        <v>0.1</v>
      </c>
      <c r="Q9" s="61">
        <f>O9*P9</f>
        <v>0</v>
      </c>
      <c r="R9" s="61">
        <f>O9-Q9</f>
        <v>0</v>
      </c>
      <c r="S9" s="88">
        <f>R9*S6</f>
        <v>0</v>
      </c>
      <c r="T9" s="71">
        <f>R9*T6</f>
        <v>0</v>
      </c>
    </row>
    <row r="10" spans="5:23" ht="12" x14ac:dyDescent="0.35">
      <c r="E10" s="86" t="s">
        <v>61</v>
      </c>
      <c r="F10" s="87">
        <v>4.1818181818181817E-2</v>
      </c>
      <c r="G10" s="61">
        <f>F10*G5</f>
        <v>4.545454545454546E-4</v>
      </c>
      <c r="H10" s="87">
        <v>0.12</v>
      </c>
      <c r="I10" s="61">
        <f>G10*H10</f>
        <v>5.4545454545454553E-5</v>
      </c>
      <c r="J10" s="61">
        <f>G10-I10</f>
        <v>4.0000000000000007E-4</v>
      </c>
      <c r="K10" s="88">
        <f>J10*K6</f>
        <v>0.40000000000000008</v>
      </c>
      <c r="L10" s="71">
        <f>J10*L6</f>
        <v>1.6000000000000003</v>
      </c>
      <c r="M10" s="89"/>
      <c r="N10" s="87">
        <v>4.1818181818181817E-2</v>
      </c>
      <c r="O10" s="61">
        <f>N10*O5</f>
        <v>4.545454545454546E-4</v>
      </c>
      <c r="P10" s="87">
        <v>0.12</v>
      </c>
      <c r="Q10" s="61">
        <f>O10*P10</f>
        <v>5.4545454545454553E-5</v>
      </c>
      <c r="R10" s="61">
        <f>O10-Q10</f>
        <v>4.0000000000000007E-4</v>
      </c>
      <c r="S10" s="88">
        <f>R10*S6</f>
        <v>0.40000000000000008</v>
      </c>
      <c r="T10" s="71">
        <f>R10*T6</f>
        <v>1.0800000000000003</v>
      </c>
      <c r="V10" s="85">
        <f>F10/K10*0.4</f>
        <v>4.181818181818181E-2</v>
      </c>
      <c r="W10" s="85">
        <f>N10/S10*0.4</f>
        <v>4.181818181818181E-2</v>
      </c>
    </row>
    <row r="11" spans="5:23" ht="12" x14ac:dyDescent="0.35">
      <c r="E11" s="86" t="s">
        <v>62</v>
      </c>
      <c r="F11" s="87">
        <v>0</v>
      </c>
      <c r="G11" s="61">
        <f>F11*G5</f>
        <v>0</v>
      </c>
      <c r="H11" s="87">
        <v>0.12</v>
      </c>
      <c r="I11" s="61">
        <f>G11*H11</f>
        <v>0</v>
      </c>
      <c r="J11" s="61">
        <f>G11-I11</f>
        <v>0</v>
      </c>
      <c r="K11" s="88">
        <f>J11*K6</f>
        <v>0</v>
      </c>
      <c r="L11" s="71">
        <f>J11*L6</f>
        <v>0</v>
      </c>
      <c r="M11" s="89"/>
      <c r="N11" s="87">
        <v>0</v>
      </c>
      <c r="O11" s="61">
        <f>N11*O5</f>
        <v>0</v>
      </c>
      <c r="P11" s="87">
        <v>0.12</v>
      </c>
      <c r="Q11" s="61">
        <f>O11*P11</f>
        <v>0</v>
      </c>
      <c r="R11" s="61">
        <f>O11-Q11</f>
        <v>0</v>
      </c>
      <c r="S11" s="88">
        <f>R11*S6</f>
        <v>0</v>
      </c>
      <c r="T11" s="71">
        <f>R11*T6</f>
        <v>0</v>
      </c>
    </row>
    <row r="12" spans="5:23" ht="12" x14ac:dyDescent="0.35">
      <c r="E12" s="86" t="s">
        <v>63</v>
      </c>
      <c r="F12" s="87">
        <v>1.0200000000000001E-2</v>
      </c>
      <c r="G12" s="61">
        <f>F12*G5</f>
        <v>1.1086956521739132E-4</v>
      </c>
      <c r="H12" s="87"/>
      <c r="I12" s="90"/>
      <c r="J12" s="87">
        <f>G12</f>
        <v>1.1086956521739132E-4</v>
      </c>
      <c r="K12" s="88">
        <f>J12*K6</f>
        <v>0.11086956521739132</v>
      </c>
      <c r="L12" s="71">
        <f>J12*L6</f>
        <v>0.44347826086956527</v>
      </c>
      <c r="M12" s="89"/>
      <c r="N12" s="87">
        <v>1.0200000000000001E-2</v>
      </c>
      <c r="O12" s="61">
        <f>N12*O5</f>
        <v>1.1086956521739132E-4</v>
      </c>
      <c r="P12" s="87"/>
      <c r="Q12" s="90"/>
      <c r="R12" s="87">
        <f>O12</f>
        <v>1.1086956521739132E-4</v>
      </c>
      <c r="S12" s="88">
        <f>R12*S6</f>
        <v>0.11086956521739132</v>
      </c>
      <c r="T12" s="71">
        <f>R12*T6</f>
        <v>0.29934782608695659</v>
      </c>
    </row>
    <row r="13" spans="5:23" ht="15.5" x14ac:dyDescent="0.35">
      <c r="E13" s="91" t="s">
        <v>64</v>
      </c>
      <c r="F13" s="135">
        <v>9.7999999999999997E-3</v>
      </c>
      <c r="G13" s="93">
        <f>F13*G5</f>
        <v>1.0652173913043479E-4</v>
      </c>
      <c r="H13" s="92"/>
      <c r="I13" s="94"/>
      <c r="J13" s="92">
        <f>G13</f>
        <v>1.0652173913043479E-4</v>
      </c>
      <c r="K13" s="95">
        <f>J13*K6</f>
        <v>0.10652173913043479</v>
      </c>
      <c r="L13" s="96">
        <f>J13*L6</f>
        <v>0.42608695652173917</v>
      </c>
      <c r="M13" s="89"/>
      <c r="N13" s="92">
        <v>9.7999999999999997E-3</v>
      </c>
      <c r="O13" s="93">
        <f>N13*O5</f>
        <v>1.0652173913043479E-4</v>
      </c>
      <c r="P13" s="92"/>
      <c r="Q13" s="94"/>
      <c r="R13" s="92">
        <f>O13</f>
        <v>1.0652173913043479E-4</v>
      </c>
      <c r="S13" s="95">
        <f>R13*S6</f>
        <v>0.10652173913043479</v>
      </c>
      <c r="T13" s="96">
        <f>R13*T6</f>
        <v>0.28760869565217395</v>
      </c>
    </row>
    <row r="14" spans="5:23" ht="15.5" x14ac:dyDescent="0.35">
      <c r="E14" s="91" t="s">
        <v>65</v>
      </c>
      <c r="F14" s="136">
        <f>1-SUM(F8:F13)-F15</f>
        <v>0.50239570707070724</v>
      </c>
      <c r="G14" s="93">
        <f>F14*G5</f>
        <v>5.4608229029424705E-3</v>
      </c>
      <c r="H14" s="92"/>
      <c r="I14" s="94"/>
      <c r="J14" s="92">
        <f>G14</f>
        <v>5.4608229029424705E-3</v>
      </c>
      <c r="K14" s="95">
        <f>J14*K6</f>
        <v>5.4608229029424704</v>
      </c>
      <c r="L14" s="96">
        <f>J14*L6</f>
        <v>21.843291611769882</v>
      </c>
      <c r="M14" s="89"/>
      <c r="N14" s="97">
        <f>1-SUM(N8:N13)-N15</f>
        <v>0.4475151515151517</v>
      </c>
      <c r="O14" s="93">
        <f>N14*O5</f>
        <v>4.8642951251646931E-3</v>
      </c>
      <c r="P14" s="92"/>
      <c r="Q14" s="94"/>
      <c r="R14" s="92">
        <f>O14</f>
        <v>4.8642951251646931E-3</v>
      </c>
      <c r="S14" s="95">
        <f>R14*S6</f>
        <v>4.8642951251646931</v>
      </c>
      <c r="T14" s="96">
        <f>R14*T6</f>
        <v>13.133596837944671</v>
      </c>
    </row>
    <row r="15" spans="5:23" ht="12.5" thickBot="1" x14ac:dyDescent="0.4">
      <c r="E15" s="98" t="s">
        <v>1</v>
      </c>
      <c r="F15" s="99">
        <v>1.6674999999999999E-2</v>
      </c>
      <c r="G15" s="100">
        <f>F15*G5</f>
        <v>1.8125000000000001E-4</v>
      </c>
      <c r="H15" s="99"/>
      <c r="I15" s="101"/>
      <c r="J15" s="99">
        <f>G15</f>
        <v>1.8125000000000001E-4</v>
      </c>
      <c r="K15" s="102">
        <f>J15*K6</f>
        <v>0.18125000000000002</v>
      </c>
      <c r="L15" s="103">
        <f>J15*L6</f>
        <v>0.72500000000000009</v>
      </c>
      <c r="M15" s="104"/>
      <c r="N15" s="105">
        <v>7.1555555555555553E-2</v>
      </c>
      <c r="O15" s="100">
        <f>N15*O5</f>
        <v>7.7777777777777784E-4</v>
      </c>
      <c r="P15" s="99"/>
      <c r="Q15" s="101"/>
      <c r="R15" s="99">
        <f>O15</f>
        <v>7.7777777777777784E-4</v>
      </c>
      <c r="S15" s="102">
        <f>R15*S6</f>
        <v>0.77777777777777779</v>
      </c>
      <c r="T15" s="103">
        <f>R15*T6</f>
        <v>2.1</v>
      </c>
      <c r="V15" s="85">
        <f>F15/L15*0.58</f>
        <v>1.3339999999999998E-2</v>
      </c>
      <c r="W15" s="85">
        <f>N15/T15*1.68</f>
        <v>5.7244444444444431E-2</v>
      </c>
    </row>
    <row r="16" spans="5:23" ht="12.5" thickBot="1" x14ac:dyDescent="0.4">
      <c r="E16" s="52"/>
      <c r="F16" s="106">
        <f>SUM(F8:F15)</f>
        <v>1</v>
      </c>
      <c r="G16" s="107">
        <f>SUM(G8:G15)</f>
        <v>1.0869565217391308E-2</v>
      </c>
      <c r="H16" s="52"/>
      <c r="I16" s="52"/>
      <c r="J16" s="52"/>
      <c r="K16" s="52"/>
      <c r="L16" s="52"/>
      <c r="M16" s="52"/>
      <c r="N16" s="106">
        <f>SUM(N8:N15)</f>
        <v>1</v>
      </c>
      <c r="O16" s="52"/>
      <c r="P16" s="52"/>
      <c r="Q16" s="52"/>
      <c r="R16" s="52"/>
      <c r="S16" s="52"/>
      <c r="T16" s="52"/>
    </row>
    <row r="17" spans="3:22" ht="23" hidden="1" x14ac:dyDescent="0.35">
      <c r="J17" s="51" t="s">
        <v>66</v>
      </c>
    </row>
    <row r="18" spans="3:22" hidden="1" x14ac:dyDescent="0.35">
      <c r="C18" s="110"/>
      <c r="D18" s="110"/>
      <c r="J18" s="51">
        <v>4.3</v>
      </c>
      <c r="K18" s="85"/>
      <c r="S18" s="85">
        <f>S14+S13+0.21+0.21+0.75</f>
        <v>6.140816864295128</v>
      </c>
    </row>
    <row r="19" spans="3:22" ht="12" hidden="1" thickBot="1" x14ac:dyDescent="0.4">
      <c r="F19" s="111"/>
      <c r="G19" s="111"/>
      <c r="H19" s="111">
        <v>4.1000000000000002E-2</v>
      </c>
      <c r="I19" s="111"/>
      <c r="J19" s="111"/>
      <c r="K19" s="112"/>
      <c r="L19" s="111"/>
      <c r="M19" s="111"/>
      <c r="N19" s="111"/>
      <c r="O19" s="111"/>
      <c r="P19" s="111"/>
      <c r="Q19" s="111"/>
      <c r="R19" s="111"/>
    </row>
    <row r="20" spans="3:22" hidden="1" x14ac:dyDescent="0.35">
      <c r="F20" s="111"/>
      <c r="G20" s="111"/>
      <c r="H20" s="111"/>
      <c r="I20" s="111"/>
      <c r="J20" s="111"/>
      <c r="K20" s="111"/>
      <c r="L20" s="111"/>
      <c r="M20" s="111"/>
      <c r="N20" s="111"/>
      <c r="O20" s="111"/>
      <c r="P20" s="111"/>
      <c r="Q20" s="111"/>
      <c r="R20" s="111"/>
    </row>
    <row r="21" spans="3:22" hidden="1" x14ac:dyDescent="0.35">
      <c r="H21" s="51">
        <f>1.41*0.8</f>
        <v>1.1279999999999999</v>
      </c>
    </row>
    <row r="22" spans="3:22" hidden="1" x14ac:dyDescent="0.35">
      <c r="H22" s="113"/>
    </row>
    <row r="23" spans="3:22" ht="15" customHeight="1" thickBot="1" x14ac:dyDescent="0.4">
      <c r="E23" s="187"/>
      <c r="F23" s="187"/>
      <c r="G23" s="114"/>
      <c r="K23" s="137"/>
      <c r="O23" s="116"/>
      <c r="U23" s="117"/>
      <c r="V23" s="118"/>
    </row>
    <row r="24" spans="3:22" ht="15" customHeight="1" thickBot="1" x14ac:dyDescent="0.4">
      <c r="E24" s="119" t="s">
        <v>67</v>
      </c>
      <c r="G24" s="120"/>
      <c r="H24" s="121"/>
      <c r="K24" s="122">
        <f>K13+K14</f>
        <v>5.5673446420729054</v>
      </c>
      <c r="O24" s="116"/>
      <c r="Q24" s="85"/>
      <c r="S24" s="123">
        <f>S13+S14</f>
        <v>4.970816864295128</v>
      </c>
      <c r="U24" s="85"/>
      <c r="V24" s="85">
        <f>U24/12.5</f>
        <v>0</v>
      </c>
    </row>
    <row r="25" spans="3:22" ht="15" customHeight="1" thickBot="1" x14ac:dyDescent="0.4">
      <c r="E25" s="110"/>
      <c r="G25" s="120"/>
      <c r="H25" s="121"/>
      <c r="K25" s="124"/>
      <c r="O25" s="116"/>
      <c r="S25" s="125"/>
      <c r="U25" s="126"/>
    </row>
    <row r="26" spans="3:22" ht="40" customHeight="1" thickBot="1" x14ac:dyDescent="0.4">
      <c r="E26" s="110"/>
      <c r="G26" s="188" t="s">
        <v>68</v>
      </c>
      <c r="H26" s="189"/>
      <c r="I26" s="189"/>
      <c r="J26" s="190"/>
      <c r="K26" s="127">
        <f>(K24*0.54)+(S24*0.46)</f>
        <v>5.2929418642951287</v>
      </c>
      <c r="L26" s="128"/>
      <c r="N26" s="127">
        <f>(L15*0.54)+(T15*0.46)</f>
        <v>1.3575000000000002</v>
      </c>
      <c r="O26" s="138">
        <f>N26/L6</f>
        <v>3.3937500000000005E-4</v>
      </c>
      <c r="S26" s="125"/>
    </row>
    <row r="27" spans="3:22" x14ac:dyDescent="0.35">
      <c r="G27" s="129"/>
      <c r="L27" s="117"/>
    </row>
    <row r="28" spans="3:22" ht="12" thickBot="1" x14ac:dyDescent="0.4">
      <c r="G28" s="129"/>
      <c r="L28" s="117"/>
    </row>
    <row r="29" spans="3:22" ht="33.65" customHeight="1" thickBot="1" x14ac:dyDescent="0.4">
      <c r="F29" s="179" t="s">
        <v>69</v>
      </c>
      <c r="G29" s="180"/>
      <c r="L29" s="117"/>
    </row>
    <row r="30" spans="3:22" ht="24.5" thickBot="1" x14ac:dyDescent="0.4">
      <c r="F30" s="52" t="s">
        <v>70</v>
      </c>
      <c r="G30" s="109">
        <f>SUM(K8:K11)</f>
        <v>4.5</v>
      </c>
      <c r="H30" s="109"/>
      <c r="I30" s="52"/>
      <c r="J30" s="109"/>
      <c r="L30" s="126"/>
      <c r="N30" s="139"/>
      <c r="O30" s="117"/>
      <c r="Q30" s="140"/>
      <c r="R30" s="140"/>
      <c r="S30" s="117"/>
    </row>
    <row r="31" spans="3:22" ht="24.5" thickBot="1" x14ac:dyDescent="0.4">
      <c r="F31" s="52" t="s">
        <v>71</v>
      </c>
      <c r="G31" s="130">
        <f>G30/11.5</f>
        <v>0.39130434782608697</v>
      </c>
      <c r="H31" s="52"/>
      <c r="I31" s="52"/>
      <c r="J31" s="52"/>
      <c r="L31" s="85"/>
      <c r="N31" s="139"/>
      <c r="O31" s="117"/>
      <c r="P31" s="85"/>
      <c r="Q31" s="140"/>
      <c r="R31" s="140"/>
      <c r="S31" s="117"/>
    </row>
    <row r="32" spans="3:22" ht="12.5" thickBot="1" x14ac:dyDescent="0.4">
      <c r="F32" s="52" t="s">
        <v>72</v>
      </c>
      <c r="G32" s="109">
        <f>11.5-G30</f>
        <v>7</v>
      </c>
      <c r="H32" s="52"/>
      <c r="I32" s="52"/>
      <c r="J32" s="109"/>
      <c r="L32" s="126"/>
      <c r="N32" s="85"/>
      <c r="O32" s="126"/>
      <c r="S32" s="126"/>
    </row>
    <row r="33" spans="6:19" ht="24.5" thickBot="1" x14ac:dyDescent="0.4">
      <c r="F33" s="52" t="s">
        <v>73</v>
      </c>
      <c r="G33" s="130">
        <f>G32/11.5</f>
        <v>0.60869565217391308</v>
      </c>
      <c r="N33" s="125"/>
      <c r="R33" s="117"/>
      <c r="S33" s="126"/>
    </row>
    <row r="34" spans="6:19" ht="36.5" thickBot="1" x14ac:dyDescent="0.4">
      <c r="F34" s="52" t="s">
        <v>74</v>
      </c>
      <c r="G34" s="131">
        <f>1.1*2</f>
        <v>2.2000000000000002</v>
      </c>
      <c r="N34" s="125"/>
      <c r="R34" s="117"/>
      <c r="S34" s="126"/>
    </row>
    <row r="35" spans="6:19" ht="36.5" thickBot="1" x14ac:dyDescent="0.4">
      <c r="F35" s="52" t="s">
        <v>75</v>
      </c>
      <c r="G35" s="132">
        <f>G32-G34</f>
        <v>4.8</v>
      </c>
      <c r="N35" s="125"/>
      <c r="R35" s="117"/>
      <c r="S35" s="126"/>
    </row>
    <row r="36" spans="6:19" ht="48.5" thickBot="1" x14ac:dyDescent="0.4">
      <c r="F36" s="52" t="s">
        <v>76</v>
      </c>
      <c r="G36" s="54">
        <v>2</v>
      </c>
      <c r="N36" s="85"/>
      <c r="P36" s="126"/>
    </row>
    <row r="37" spans="6:19" ht="24.5" thickBot="1" x14ac:dyDescent="0.4">
      <c r="F37" s="52" t="s">
        <v>77</v>
      </c>
      <c r="G37" s="133">
        <f>2/11.5</f>
        <v>0.17391304347826086</v>
      </c>
      <c r="N37" s="85"/>
      <c r="P37" s="126"/>
    </row>
    <row r="38" spans="6:19" ht="24.5" thickBot="1" x14ac:dyDescent="0.4">
      <c r="F38" s="52" t="s">
        <v>78</v>
      </c>
      <c r="G38" s="133">
        <f>G36/12.5</f>
        <v>0.16</v>
      </c>
    </row>
    <row r="39" spans="6:19" ht="24.5" thickBot="1" x14ac:dyDescent="0.4">
      <c r="F39" s="52" t="s">
        <v>79</v>
      </c>
      <c r="G39" s="134">
        <v>0.15</v>
      </c>
    </row>
    <row r="40" spans="6:19" x14ac:dyDescent="0.35">
      <c r="I40" s="51">
        <v>3400</v>
      </c>
      <c r="J40" s="51">
        <v>5000</v>
      </c>
      <c r="P40" s="126"/>
    </row>
    <row r="41" spans="6:19" ht="24" x14ac:dyDescent="0.35">
      <c r="F41" s="90" t="s">
        <v>80</v>
      </c>
      <c r="G41" s="90">
        <v>11.5</v>
      </c>
      <c r="H41" s="90">
        <v>12.5</v>
      </c>
    </row>
    <row r="42" spans="6:19" ht="12" x14ac:dyDescent="0.35">
      <c r="F42" s="90" t="s">
        <v>81</v>
      </c>
      <c r="G42" s="90">
        <f>G41*G39</f>
        <v>1.7249999999999999</v>
      </c>
      <c r="H42" s="90">
        <f>H41*G39</f>
        <v>1.875</v>
      </c>
      <c r="I42" s="51">
        <f>H42*3.4</f>
        <v>6.375</v>
      </c>
      <c r="J42" s="51">
        <f>H42*5</f>
        <v>9.375</v>
      </c>
    </row>
    <row r="43" spans="6:19" ht="24" x14ac:dyDescent="0.35">
      <c r="F43" s="90" t="s">
        <v>82</v>
      </c>
      <c r="G43" s="90">
        <f>G41-G42</f>
        <v>9.7750000000000004</v>
      </c>
      <c r="H43" s="90">
        <f>H41-H42</f>
        <v>10.625</v>
      </c>
      <c r="J43" s="51">
        <f>H43*5</f>
        <v>53.125</v>
      </c>
    </row>
    <row r="44" spans="6:19" x14ac:dyDescent="0.35">
      <c r="J44" s="51">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Raiyan Bin Mohsin</cp:lastModifiedBy>
  <cp:lastPrinted>2020-04-15T09:33:53Z</cp:lastPrinted>
  <dcterms:created xsi:type="dcterms:W3CDTF">2018-04-24T07:56:48Z</dcterms:created>
  <dcterms:modified xsi:type="dcterms:W3CDTF">2025-05-28T11:34:30Z</dcterms:modified>
</cp:coreProperties>
</file>